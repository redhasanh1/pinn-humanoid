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Alternatives" sheetId="2" state="visible" r:id="rId2"/>
    <sheet name="Phase 2 - Full robot" sheetId="3" state="visible" r:id="rId3"/>
    <sheet name="Phase 3 - Tools" sheetId="4" state="visible" r:id="rId4"/>
    <sheet name="Screw siz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0"/>
    </font>
    <font>
      <name val="Arial"/>
      <b val="1"/>
      <color rgb="000000FF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9" fontId="5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0" fontId="3" fillId="4" borderId="0" applyAlignment="1" pivotButton="0" quotePrefix="0" xfId="0">
      <alignment horizontal="right"/>
    </xf>
    <xf numFmtId="0" fontId="0" fillId="4" borderId="0" pivotButton="0" quotePrefix="0" xfId="0"/>
    <xf numFmtId="164" fontId="3" fillId="4" borderId="1" pivotButton="0" quotePrefix="0" xfId="0"/>
    <xf numFmtId="0" fontId="7" fillId="4" borderId="0" applyAlignment="1" pivotButton="0" quotePrefix="0" xfId="0">
      <alignment horizontal="right"/>
    </xf>
    <xf numFmtId="0" fontId="9" fillId="4" borderId="0" pivotButton="0" quotePrefix="0" xfId="0"/>
    <xf numFmtId="0" fontId="3" fillId="5" borderId="0" pivotButton="0" quotePrefix="0" xfId="0"/>
    <xf numFmtId="0" fontId="0" fillId="5" borderId="0" pivotButton="0" quotePrefix="0" xfId="0"/>
    <xf numFmtId="0" fontId="7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7" fillId="5" borderId="1" applyAlignment="1" pivotButton="0" quotePrefix="0" xfId="0">
      <alignment vertical="top" wrapText="1"/>
    </xf>
    <xf numFmtId="0" fontId="3" fillId="5" borderId="0" applyAlignment="1" pivotButton="0" quotePrefix="0" xfId="0">
      <alignment horizontal="right"/>
    </xf>
    <xf numFmtId="164" fontId="3" fillId="5" borderId="1" pivotButton="0" quotePrefix="0" xfId="0"/>
    <xf numFmtId="0" fontId="7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a/dp/B0C9THDPXP" TargetMode="External" Id="rId1" /><Relationship Type="http://schemas.openxmlformats.org/officeDocument/2006/relationships/hyperlink" Target="https://www.amazon.ca/dp/B07MFK266B" TargetMode="External" Id="rId2" /><Relationship Type="http://schemas.openxmlformats.org/officeDocument/2006/relationships/hyperlink" Target="https://www.amazon.ca/dp/B07BRS249H" TargetMode="External" Id="rId3" /><Relationship Type="http://schemas.openxmlformats.org/officeDocument/2006/relationships/hyperlink" Target="https://www.amazon.ca/dp/B08N4FB7MF" TargetMode="External" Id="rId4" /><Relationship Type="http://schemas.openxmlformats.org/officeDocument/2006/relationships/hyperlink" Target="https://www.amazon.ca/dp/B0C4JJ2HB4" TargetMode="External" Id="rId5" /><Relationship Type="http://schemas.openxmlformats.org/officeDocument/2006/relationships/hyperlink" Target="https://www.amazon.ca/dp/B0791D5G7J" TargetMode="External" Id="rId6" /><Relationship Type="http://schemas.openxmlformats.org/officeDocument/2006/relationships/hyperlink" Target="https://www.amazon.ca/dp/B0D7W3RT31" TargetMode="External" Id="rId7" /><Relationship Type="http://schemas.openxmlformats.org/officeDocument/2006/relationships/hyperlink" Target="https://www.amazon.ca/dp/B01EV70C78" TargetMode="External" Id="rId8" /><Relationship Type="http://schemas.openxmlformats.org/officeDocument/2006/relationships/hyperlink" Target="https://www.amazon.ca/dp/B09VGDJ6Z8" TargetMode="External" Id="rId9" /><Relationship Type="http://schemas.openxmlformats.org/officeDocument/2006/relationships/hyperlink" Target="https://www.amazon.ca/dp/B01AQOI36M" TargetMode="External" Id="rId10" /><Relationship Type="http://schemas.openxmlformats.org/officeDocument/2006/relationships/hyperlink" Target="https://www.digikey.ca/en/products/detail/interlink-electronics/30-81794/2476468" TargetMode="External" Id="rId1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mazon.ca/dp/B0BWJ26PX2" TargetMode="External" Id="rId1" /><Relationship Type="http://schemas.openxmlformats.org/officeDocument/2006/relationships/hyperlink" Target="https://www.amazon.ca/dp/B09LS7RB5J" TargetMode="External" Id="rId2" /><Relationship Type="http://schemas.openxmlformats.org/officeDocument/2006/relationships/hyperlink" Target="https://www.amazon.ca/dp/B0BZ4N367M" TargetMode="External" Id="rId3" /><Relationship Type="http://schemas.openxmlformats.org/officeDocument/2006/relationships/hyperlink" Target="https://www.amazon.ca/dp/B0FH53CKCS" TargetMode="External" Id="rId4" /><Relationship Type="http://schemas.openxmlformats.org/officeDocument/2006/relationships/hyperlink" Target="https://www.amazon.ca/dp/B06XSFFXQY" TargetMode="External" Id="rId5" /><Relationship Type="http://schemas.openxmlformats.org/officeDocument/2006/relationships/hyperlink" Target="https://www.amazon.ca/dp/B0CKXW6ZCJ" TargetMode="External" Id="rId6" /><Relationship Type="http://schemas.openxmlformats.org/officeDocument/2006/relationships/hyperlink" Target="https://www.amazon.ca/dp/B07KC55TJF" TargetMode="External" Id="rId7" /><Relationship Type="http://schemas.openxmlformats.org/officeDocument/2006/relationships/hyperlink" Target="https://www.amazon.ca/dp/B07BQCMPF2" TargetMode="External" Id="rId8" /><Relationship Type="http://schemas.openxmlformats.org/officeDocument/2006/relationships/hyperlink" Target="https://www.amazon.ca/dp/B07JMY5XXT" TargetMode="External" Id="rId9" /><Relationship Type="http://schemas.openxmlformats.org/officeDocument/2006/relationships/hyperlink" Target="https://www.amazon.ca/dp/B01MRMI7R1" TargetMode="External" Id="rId10" /><Relationship Type="http://schemas.openxmlformats.org/officeDocument/2006/relationships/hyperlink" Target="https://www.amazon.ca/dp/B0D7CP84F4" TargetMode="External" Id="rId11" /><Relationship Type="http://schemas.openxmlformats.org/officeDocument/2006/relationships/hyperlink" Target="https://www.amazon.ca/dp/B0BTT48V7P" TargetMode="External" Id="rId12" /><Relationship Type="http://schemas.openxmlformats.org/officeDocument/2006/relationships/hyperlink" Target="https://www.amazon.ca/dp/B07NJB58XC" TargetMode="External" Id="rId13" /><Relationship Type="http://schemas.openxmlformats.org/officeDocument/2006/relationships/hyperlink" Target="https://www.amazon.ca/dp/B07HGTKQ89" TargetMode="External" Id="rId14" /><Relationship Type="http://schemas.openxmlformats.org/officeDocument/2006/relationships/hyperlink" Target="https://www.digikey.ca/en/products/detail/interlink-electronics/30-81794/2476468" TargetMode="External" Id="rId15" /><Relationship Type="http://schemas.openxmlformats.org/officeDocument/2006/relationships/hyperlink" Target="https://www.amazon.ca/dp/B0B5F7JDT5" TargetMode="External" Id="rId1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aliexpress.com/item/1005005676958064.html" TargetMode="External" Id="rId1" /><Relationship Type="http://schemas.openxmlformats.org/officeDocument/2006/relationships/hyperlink" Target="https://www.amazon.ca/dp/B0CKXW6ZCJ" TargetMode="External" Id="rId2" /><Relationship Type="http://schemas.openxmlformats.org/officeDocument/2006/relationships/hyperlink" Target="https://www.amazon.ca/dp/B08QD6TT2N" TargetMode="External" Id="rId3" /><Relationship Type="http://schemas.openxmlformats.org/officeDocument/2006/relationships/hyperlink" Target="https://www.amazon.ca/dp/B07JM62B3Q" TargetMode="External" Id="rId4" /><Relationship Type="http://schemas.openxmlformats.org/officeDocument/2006/relationships/hyperlink" Target="https://www.amazon.ca/dp/B00HC1U0LO" TargetMode="External" Id="rId5" /><Relationship Type="http://schemas.openxmlformats.org/officeDocument/2006/relationships/hyperlink" Target="https://www.amazon.ca/dp/B09VGDJ6Z8" TargetMode="External" Id="rId6" /><Relationship Type="http://schemas.openxmlformats.org/officeDocument/2006/relationships/hyperlink" Target="https://www.amazon.ca/s?k=self+tapping+screw+assortment+m3" TargetMode="External" Id="rId7" /><Relationship Type="http://schemas.openxmlformats.org/officeDocument/2006/relationships/hyperlink" Target="https://www.homedepot.ca/" TargetMode="External" Id="rId8" /><Relationship Type="http://schemas.openxmlformats.org/officeDocument/2006/relationships/hyperlink" Target="https://www.amazon.ca/s?k=super+lube+ptfe+grease" TargetMode="External" Id="rId9" /><Relationship Type="http://schemas.openxmlformats.org/officeDocument/2006/relationships/hyperlink" Target="https://www.aliexpress.com/item/1005008670304643.html" TargetMode="External" Id="rId10" /><Relationship Type="http://schemas.openxmlformats.org/officeDocument/2006/relationships/hyperlink" Target="https://www.kijiji.ca/b-city-of-toronto/hoverboard/k0c170l1700273" TargetMode="External" Id="rId11" /><Relationship Type="http://schemas.openxmlformats.org/officeDocument/2006/relationships/hyperlink" Target="https://www.amazon.ca/" TargetMode="External" Id="rId12" /><Relationship Type="http://schemas.openxmlformats.org/officeDocument/2006/relationships/hyperlink" Target="https://www.amazon.ca/" TargetMode="External" Id="rId13" /><Relationship Type="http://schemas.openxmlformats.org/officeDocument/2006/relationships/hyperlink" Target="https://www.amazon.ca/" TargetMode="External" Id="rId14" /><Relationship Type="http://schemas.openxmlformats.org/officeDocument/2006/relationships/hyperlink" Target="https://www.waveshare.com/bus-servo-adapter-a.htm" TargetMode="External" Id="rId15" /><Relationship Type="http://schemas.openxmlformats.org/officeDocument/2006/relationships/hyperlink" Target="https://www.amazon.ca/dp/B07M6Y7355" TargetMode="External" Id="rId16" /><Relationship Type="http://schemas.openxmlformats.org/officeDocument/2006/relationships/hyperlink" Target="https://www.aliexpress.com/w/wholesale-wide-angle-usb-camera.html" TargetMode="External" Id="rId17" /><Relationship Type="http://schemas.openxmlformats.org/officeDocument/2006/relationships/hyperlink" Target="https://www.aliexpress.com/w/wholesale-bno085.html" TargetMode="External" Id="rId18" /><Relationship Type="http://schemas.openxmlformats.org/officeDocument/2006/relationships/hyperlink" Target="https://www.aliexpress.com/item/1005008074862037.html" TargetMode="External" Id="rId19" /><Relationship Type="http://schemas.openxmlformats.org/officeDocument/2006/relationships/hyperlink" Target="https://www.amazon.ca/dp/B00OTK16FK" TargetMode="External" Id="rId20" /><Relationship Type="http://schemas.openxmlformats.org/officeDocument/2006/relationships/hyperlink" Target="https://www.amazon.ca/" TargetMode="External" Id="rId21" /><Relationship Type="http://schemas.openxmlformats.org/officeDocument/2006/relationships/hyperlink" Target="https://www.amazon.ca/dp/B08SQFT9TW" TargetMode="External" Id="rId22" /><Relationship Type="http://schemas.openxmlformats.org/officeDocument/2006/relationships/hyperlink" Target="https://www.amazon.ca/" TargetMode="External" Id="rId23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amazon.ca/dp/B0CNCSFQC1" TargetMode="External" Id="rId1" /><Relationship Type="http://schemas.openxmlformats.org/officeDocument/2006/relationships/hyperlink" Target="https://www.amazon.ca/dp/B07KRTHJZR" TargetMode="External" Id="rId2" /><Relationship Type="http://schemas.openxmlformats.org/officeDocument/2006/relationships/hyperlink" Target="https://www.amazon.ca/dp/B075ZZY166" TargetMode="External" Id="rId3" /><Relationship Type="http://schemas.openxmlformats.org/officeDocument/2006/relationships/hyperlink" Target="https://www.amazon.ca/dp/B00BNS8W2Q" TargetMode="External" Id="rId4" /><Relationship Type="http://schemas.openxmlformats.org/officeDocument/2006/relationships/hyperlink" Target="https://www.amazon.ca/dp/B07T3K1TMS" TargetMode="External" Id="rId5" /><Relationship Type="http://schemas.openxmlformats.org/officeDocument/2006/relationships/hyperlink" Target="https://www.amazon.ca/dp/B0081JE0OO" TargetMode="External" Id="rId6" /><Relationship Type="http://schemas.openxmlformats.org/officeDocument/2006/relationships/hyperlink" Target="https://www.amazon.ca/dp/B07JM62B3Q" TargetMode="External" Id="rId7" /><Relationship Type="http://schemas.openxmlformats.org/officeDocument/2006/relationships/hyperlink" Target="https://www.amazon.ca/dp/B07DMTYQ6N" TargetMode="External" Id="rId8" /><Relationship Type="http://schemas.openxmlformats.org/officeDocument/2006/relationships/hyperlink" Target="https://www.amazon.ca/dp/B0BYBHYLG2" TargetMode="External" Id="rId9" /><Relationship Type="http://schemas.openxmlformats.org/officeDocument/2006/relationships/hyperlink" Target="https://www.amazon.ca/dp/B0FDJYRGB7" TargetMode="External" Id="rId10" /><Relationship Type="http://schemas.openxmlformats.org/officeDocument/2006/relationships/hyperlink" Target="https://www.amazon.ca/dp/B06ZZHX6K3" TargetMode="External" Id="rId11" /><Relationship Type="http://schemas.openxmlformats.org/officeDocument/2006/relationships/hyperlink" Target="https://www.amazon.ca/dp/B0968D5PSC" TargetMode="External" Id="rId12" /><Relationship Type="http://schemas.openxmlformats.org/officeDocument/2006/relationships/hyperlink" Target="https://www.amazon.ca/dp/B098TYMJ3X" TargetMode="External" Id="rId13" /><Relationship Type="http://schemas.openxmlformats.org/officeDocument/2006/relationships/hyperlink" Target="https://www.amazon.ca/dp/B0CGHRCHP5" TargetMode="External" Id="rId14" /><Relationship Type="http://schemas.openxmlformats.org/officeDocument/2006/relationships/hyperlink" Target="https://www.amazon.ca/dp/B07XXMLFMV" TargetMode="External" Id="rId15" /><Relationship Type="http://schemas.openxmlformats.org/officeDocument/2006/relationships/hyperlink" Target="https://www.amazon.ca/dp/B08K8VFTF9" TargetMode="External" Id="rId16" /><Relationship Type="http://schemas.openxmlformats.org/officeDocument/2006/relationships/hyperlink" Target="https://www.amazon.ca/dp/B0943TPRXK" TargetMode="External" Id="rId17" /><Relationship Type="http://schemas.openxmlformats.org/officeDocument/2006/relationships/hyperlink" Target="https://www.amazon.ca/dp/B07H65J7DQ" TargetMode="External" Id="rId18" /><Relationship Type="http://schemas.openxmlformats.org/officeDocument/2006/relationships/hyperlink" Target="https://www.amazon.ca/dp/B08XXGNJHG" TargetMode="External" Id="rId19" /><Relationship Type="http://schemas.openxmlformats.org/officeDocument/2006/relationships/hyperlink" Target="https://www.amazon.ca/dp/B07DFFYCXS" TargetMode="External" Id="rId20" /><Relationship Type="http://schemas.openxmlformats.org/officeDocument/2006/relationships/hyperlink" Target="https://www.amazon.ca/dp/B08TVLYB3Q" TargetMode="External" Id="rId21" /><Relationship Type="http://schemas.openxmlformats.org/officeDocument/2006/relationships/hyperlink" Target="https://www.amazon.ca/dp/B004BPPHYE" TargetMode="External" Id="rId22" /><Relationship Type="http://schemas.openxmlformats.org/officeDocument/2006/relationships/hyperlink" Target="https://www.amazon.ca/dp/B07PPYWSCY" TargetMode="External" Id="rId23" /><Relationship Type="http://schemas.openxmlformats.org/officeDocument/2006/relationships/hyperlink" Target="https://www.amazon.ca/dp/B00004Z48U" TargetMode="External" Id="rId24" /><Relationship Type="http://schemas.openxmlformats.org/officeDocument/2006/relationships/hyperlink" Target="https://www.amazon.ca/dp/B0CL5F9M4H" TargetMode="External" Id="rId25" /><Relationship Type="http://schemas.openxmlformats.org/officeDocument/2006/relationships/hyperlink" Target="https://www.amazon.ca/dp/B09JLXKWB5" TargetMode="External" Id="rId26" /><Relationship Type="http://schemas.openxmlformats.org/officeDocument/2006/relationships/hyperlink" Target="https://www.amazon.ca/dp/B0F2JL22QN" TargetMode="External" Id="rId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4" customWidth="1" min="3" max="3"/>
    <col width="15" customWidth="1" min="4" max="4"/>
    <col width="10" customWidth="1" min="5" max="5"/>
    <col width="16" customWidth="1" min="6" max="6"/>
    <col width="80" customWidth="1" min="7" max="7"/>
  </cols>
  <sheetData>
    <row r="1">
      <c r="A1" s="1" t="inlineStr">
        <is>
          <t>robotai - Phase 1: Two InMoov-style robotic hands - Bill of Materials</t>
        </is>
      </c>
    </row>
    <row r="2">
      <c r="A2" s="2" t="inlineStr">
        <is>
          <t>All prices CAD, read from the linked pages on 2026-09-27. 3D-printed parts excluded (printing covered). Blue cells = inputs (edit price/qty); totals recalc automatically.</t>
        </is>
      </c>
    </row>
    <row r="3">
      <c r="A3" s="3" t="inlineStr">
        <is>
          <t>Budget (CAD)</t>
        </is>
      </c>
      <c r="B3" s="4" t="n">
        <v>500</v>
      </c>
      <c r="C3" s="3" t="inlineStr">
        <is>
          <t>Sales tax rate (ON HST)</t>
        </is>
      </c>
      <c r="D3" s="5" t="n">
        <v>0.13</v>
      </c>
    </row>
    <row r="5">
      <c r="A5" s="6" t="inlineStr">
        <is>
          <t>CORE BOM</t>
        </is>
      </c>
      <c r="B5" s="7" t="n"/>
      <c r="C5" s="7" t="n"/>
      <c r="D5" s="7" t="n"/>
      <c r="E5" s="7" t="n"/>
      <c r="F5" s="7" t="n"/>
      <c r="G5" s="7" t="n"/>
    </row>
    <row r="6">
      <c r="A6" s="8" t="inlineStr">
        <is>
          <t>Item</t>
        </is>
      </c>
      <c r="B6" s="8" t="inlineStr">
        <is>
          <t>Product Name</t>
        </is>
      </c>
      <c r="C6" s="8" t="inlineStr">
        <is>
          <t>Link</t>
        </is>
      </c>
      <c r="D6" s="8" t="inlineStr">
        <is>
          <t>Unit Price (CAD)</t>
        </is>
      </c>
      <c r="E6" s="8" t="inlineStr">
        <is>
          <t>Quantity</t>
        </is>
      </c>
      <c r="F6" s="8" t="inlineStr">
        <is>
          <t>Line Total (CAD)</t>
        </is>
      </c>
      <c r="G6" s="8" t="inlineStr">
        <is>
          <t>Notes/Rationale</t>
        </is>
      </c>
    </row>
    <row r="7">
      <c r="A7" s="9" t="inlineStr">
        <is>
          <t>ESP32 dev board (x2, one per hand)</t>
        </is>
      </c>
      <c r="B7" s="9" t="inlineStr">
        <is>
          <t>Freenove ESP32 Development Board ESP32 Kit (2 Pack)</t>
        </is>
      </c>
      <c r="C7" s="10" t="inlineStr">
        <is>
          <t>https://www.amazon.ca/dp/B0C9THDPXP</t>
        </is>
      </c>
      <c r="D7" s="11" t="n">
        <v>27.95</v>
      </c>
      <c r="E7" s="12" t="n">
        <v>1</v>
      </c>
      <c r="F7" s="13">
        <f>D7*E7</f>
        <v/>
      </c>
      <c r="G7" s="9" t="inlineStr">
        <is>
          <t>One 2-pack covers both hands ($13.98/board). ESP32-WROOM, 4.4* (527), well documented.</t>
        </is>
      </c>
    </row>
    <row r="8">
      <c r="A8" s="9" t="inlineStr">
        <is>
          <t>Finger servos (10 + 2 spares) - GOOD tier</t>
        </is>
      </c>
      <c r="B8" s="9" t="inlineStr">
        <is>
          <t>Deegoo-FPV MG996R Metal Gear Digital Servo, 4-Pack</t>
        </is>
      </c>
      <c r="C8" s="10" t="inlineStr">
        <is>
          <t>https://www.amazon.ca/dp/B07MFK266B</t>
        </is>
      </c>
      <c r="D8" s="11" t="n">
        <v>35.22</v>
      </c>
      <c r="E8" s="12" t="n">
        <v>3</v>
      </c>
      <c r="F8" s="13">
        <f>D8*E8</f>
        <v/>
      </c>
      <c r="G8" s="9" t="inlineStr">
        <is>
          <t>12 metal-gear standard servos, ~12 kg-cm @6V, $8.81/ea, 4.5* (1,182). Fits stock InMoov forearm. Showed 'only 6 left' - fallback: Aideepen MG996R 6-pack x2 (see Alternatives).</t>
        </is>
      </c>
    </row>
    <row r="9">
      <c r="A9" s="9" t="inlineStr">
        <is>
          <t>Servo driver (x2, one per hand)</t>
        </is>
      </c>
      <c r="B9" s="9" t="inlineStr">
        <is>
          <t>HiLetgo PCA9685 16-Channel 12-Bit PWM Servo Driver (I2C), 2-Pack</t>
        </is>
      </c>
      <c r="C9" s="10" t="inlineStr">
        <is>
          <t>https://www.amazon.ca/dp/B07BRS249H</t>
        </is>
      </c>
      <c r="D9" s="11" t="n">
        <v>24.14</v>
      </c>
      <c r="E9" s="12" t="n">
        <v>1</v>
      </c>
      <c r="F9" s="13">
        <f>D9*E9</f>
        <v/>
      </c>
      <c r="G9" s="9" t="inlineStr">
        <is>
          <t>Adafruit-layout clone, works with Adafruit PWM library on ESP32. One board per hand matches 1-ESP32-per-hand; a single board (16 ch) could drive all 10 servos but would tie both hands to one ESP32.</t>
        </is>
      </c>
    </row>
    <row r="10">
      <c r="A10" s="9" t="inlineStr">
        <is>
          <t>Servo power supply (x2, one per hand)</t>
        </is>
      </c>
      <c r="B10" s="9" t="inlineStr">
        <is>
          <t>SHNITPWR 3.5-12V Adjustable 10A 120W Power Supply w/ LCD</t>
        </is>
      </c>
      <c r="C10" s="10" t="inlineStr">
        <is>
          <t>https://www.amazon.ca/dp/B08N4FB7MF</t>
        </is>
      </c>
      <c r="D10" s="11" t="n">
        <v>36.99</v>
      </c>
      <c r="E10" s="12" t="n">
        <v>2</v>
      </c>
      <c r="F10" s="13">
        <f>D10*E10</f>
        <v/>
      </c>
      <c r="G10" s="9" t="inlineStr">
        <is>
          <t>Set to 6V. 10A = 5 MG996R running + 2-3 stalled (~2.5A stall each). LCD guards against accidental 12V. 4.3* (216). Servos NEVER on ESP32 5V pin; tie grounds.</t>
        </is>
      </c>
    </row>
    <row r="11">
      <c r="A11" s="9" t="inlineStr">
        <is>
          <t>DC barrel-jack to screw-terminal adapters</t>
        </is>
      </c>
      <c r="B11" s="9" t="inlineStr">
        <is>
          <t>20 PCS Female DC 5.5x2.1mm Barrel to Screw Terminal</t>
        </is>
      </c>
      <c r="C11" s="10" t="inlineStr">
        <is>
          <t>https://www.amazon.ca/dp/B0C4JJ2HB4</t>
        </is>
      </c>
      <c r="D11" s="11" t="n">
        <v>11.99</v>
      </c>
      <c r="E11" s="12" t="n">
        <v>1</v>
      </c>
      <c r="F11" s="13">
        <f>D11*E11</f>
        <v/>
      </c>
      <c r="G11" s="9" t="inlineStr">
        <is>
          <t>Connects PSU to PCA9685 V+ terminal. Small jacks run warm near 10A - cutting the plug and screwing wire in is safer.</t>
        </is>
      </c>
    </row>
    <row r="12">
      <c r="A12" s="9" t="inlineStr">
        <is>
          <t>Tendon line (shared spool)</t>
        </is>
      </c>
      <c r="B12" s="9" t="inlineStr">
        <is>
          <t>HERCULES 8-Strand Braided PE Fishing Line, 50lb, 0.37mm, 100m</t>
        </is>
      </c>
      <c r="C12" s="10" t="inlineStr">
        <is>
          <t>https://www.amazon.ca/dp/B0791D5G7J</t>
        </is>
      </c>
      <c r="D12" s="11" t="n">
        <v>16.99</v>
      </c>
      <c r="E12" s="12" t="n">
        <v>1</v>
      </c>
      <c r="F12" s="13">
        <f>D12*E12</f>
        <v/>
      </c>
      <c r="G12" s="9" t="inlineStr">
        <is>
          <t>InMoov-class braid, low stretch; 100m is far more than both hands need. 4.5* (7.7K). Price for 50lb/100m variant.</t>
        </is>
      </c>
    </row>
    <row r="13">
      <c r="A13" s="9" t="inlineStr">
        <is>
          <t>Finger return springs</t>
        </is>
      </c>
      <c r="B13" s="9" t="inlineStr">
        <is>
          <t>Swpeet 150pc Stainless Extension Spring Assortment (15 sizes x 10)</t>
        </is>
      </c>
      <c r="C13" s="10" t="inlineStr">
        <is>
          <t>https://www.amazon.ca/dp/B0D7W3RT31</t>
        </is>
      </c>
      <c r="D13" s="11" t="n">
        <v>20.99</v>
      </c>
      <c r="E13" s="12" t="n">
        <v>1</v>
      </c>
      <c r="F13" s="13">
        <f>D13*E13</f>
        <v/>
      </c>
      <c r="G13" s="9" t="inlineStr">
        <is>
          <t>10 of each size, so 10 matching springs per size for 10 fingers, lets you tune return force. 4.6* (111).</t>
        </is>
      </c>
    </row>
    <row r="14">
      <c r="A14" s="9" t="inlineStr">
        <is>
          <t>Jumper wire kit</t>
        </is>
      </c>
      <c r="B14" s="9" t="inlineStr">
        <is>
          <t>ELEGOO 120pc 20cm Dupont Wire (40 M-F / 40 M-M / 40 F-F)</t>
        </is>
      </c>
      <c r="C14" s="10" t="inlineStr">
        <is>
          <t>https://www.amazon.ca/dp/B01EV70C78</t>
        </is>
      </c>
      <c r="D14" s="11" t="n">
        <v>12.99</v>
      </c>
      <c r="E14" s="12" t="n">
        <v>1</v>
      </c>
      <c r="F14" s="13">
        <f>D14*E14</f>
        <v/>
      </c>
      <c r="G14" s="9" t="inlineStr">
        <is>
          <t>Signal/I2C wiring ESP32&lt;-&gt;PCA9685. 4.7* (14.8K). One kit covers both hands.</t>
        </is>
      </c>
    </row>
    <row r="15">
      <c r="A15" s="9" t="inlineStr">
        <is>
          <t>Servo extension cables</t>
        </is>
      </c>
      <c r="B15" s="9" t="inlineStr">
        <is>
          <t>10pc 30cm 3-Pin Servo Extension Cable (JR, F-M)</t>
        </is>
      </c>
      <c r="C15" s="10" t="inlineStr">
        <is>
          <t>https://www.amazon.ca/dp/B09VGDJ6Z8</t>
        </is>
      </c>
      <c r="D15" s="11" t="n">
        <v>8.27</v>
      </c>
      <c r="E15" s="12" t="n">
        <v>1</v>
      </c>
      <c r="F15" s="13">
        <f>D15*E15</f>
        <v/>
      </c>
      <c r="G15" s="9" t="inlineStr">
        <is>
          <t>Forearm servos to PCA9685 headers. Free shipping but slow (est. Oct 20-Nov 9); Prime alt in Alternatives.</t>
        </is>
      </c>
    </row>
    <row r="16">
      <c r="A16" s="9" t="inlineStr">
        <is>
          <t>Servo power wire</t>
        </is>
      </c>
      <c r="B16" s="9" t="inlineStr">
        <is>
          <t>BNTECHGO 18 AWG Silicone Wire, Red/Black, 10ft</t>
        </is>
      </c>
      <c r="C16" s="10" t="inlineStr">
        <is>
          <t>https://www.amazon.ca/dp/B01AQOI36M</t>
        </is>
      </c>
      <c r="D16" s="11" t="n">
        <v>13.44</v>
      </c>
      <c r="E16" s="12" t="n">
        <v>1</v>
      </c>
      <c r="F16" s="13">
        <f>D16*E16</f>
        <v/>
      </c>
      <c r="G16" s="9" t="inlineStr">
        <is>
          <t>18AWG handles the 10A servo bus; Dupont wire (24AWG) must not carry servo power. 4.5* (438).</t>
        </is>
      </c>
    </row>
    <row r="17">
      <c r="A17" s="14" t="inlineStr">
        <is>
          <t>Core subtotal (pre-tax)</t>
        </is>
      </c>
      <c r="B17" s="15" t="n"/>
      <c r="C17" s="15" t="n"/>
      <c r="D17" s="15" t="n"/>
      <c r="E17" s="15" t="n"/>
      <c r="F17" s="16">
        <f>SUM(F7:F16)</f>
        <v/>
      </c>
      <c r="G17" s="15" t="n"/>
    </row>
    <row r="18">
      <c r="A18" s="17" t="inlineStr">
        <is>
          <t>Est. HST on core (13%, shipping not included)</t>
        </is>
      </c>
      <c r="B18" s="15" t="n"/>
      <c r="C18" s="15" t="n"/>
      <c r="D18" s="15" t="n"/>
      <c r="E18" s="15" t="n"/>
      <c r="F18" s="16">
        <f>F17*$D$3</f>
        <v/>
      </c>
      <c r="G18" s="15" t="n"/>
    </row>
    <row r="19">
      <c r="A19" s="14" t="inlineStr">
        <is>
          <t>CORE TOTAL incl. tax</t>
        </is>
      </c>
      <c r="B19" s="15" t="n"/>
      <c r="C19" s="15" t="n"/>
      <c r="D19" s="15" t="n"/>
      <c r="E19" s="15" t="n"/>
      <c r="F19" s="16">
        <f>F17+F18</f>
        <v/>
      </c>
      <c r="G19" s="15" t="n"/>
    </row>
    <row r="20">
      <c r="A20" s="14" t="inlineStr">
        <is>
          <t>Headroom under budget</t>
        </is>
      </c>
      <c r="B20" s="15" t="n"/>
      <c r="C20" s="15" t="n"/>
      <c r="D20" s="15" t="n"/>
      <c r="E20" s="15" t="n"/>
      <c r="F20" s="16">
        <f>$B$3-F19</f>
        <v/>
      </c>
      <c r="G20" s="15" t="n"/>
    </row>
    <row r="21">
      <c r="A21" s="14" t="inlineStr">
        <is>
          <t>Under $500 CAD?</t>
        </is>
      </c>
      <c r="B21" s="15" t="n"/>
      <c r="C21" s="15" t="n"/>
      <c r="D21" s="15" t="n"/>
      <c r="E21" s="15" t="n"/>
      <c r="F21" s="18">
        <f>IF(F19&lt;=$B$3,"YES - under budget","NO - over budget")</f>
        <v/>
      </c>
      <c r="G21" s="15" t="n"/>
    </row>
    <row r="23">
      <c r="A23" s="19" t="inlineStr">
        <is>
          <t>OPTIONAL - fingertip force sensors (NOT in core total)</t>
        </is>
      </c>
      <c r="B23" s="20" t="n"/>
      <c r="C23" s="20" t="n"/>
      <c r="D23" s="20" t="n"/>
      <c r="E23" s="20" t="n"/>
      <c r="F23" s="20" t="n"/>
      <c r="G23" s="20" t="n"/>
    </row>
    <row r="24">
      <c r="A24" s="8" t="inlineStr">
        <is>
          <t>Item</t>
        </is>
      </c>
      <c r="B24" s="8" t="inlineStr">
        <is>
          <t>Product Name</t>
        </is>
      </c>
      <c r="C24" s="8" t="inlineStr">
        <is>
          <t>Link</t>
        </is>
      </c>
      <c r="D24" s="8" t="inlineStr">
        <is>
          <t>Unit Price (CAD)</t>
        </is>
      </c>
      <c r="E24" s="8" t="inlineStr">
        <is>
          <t>Quantity</t>
        </is>
      </c>
      <c r="F24" s="8" t="inlineStr">
        <is>
          <t>Line Total (CAD)</t>
        </is>
      </c>
      <c r="G24" s="8" t="inlineStr">
        <is>
          <t>Notes/Rationale</t>
        </is>
      </c>
    </row>
    <row r="25">
      <c r="A25" s="21" t="inlineStr">
        <is>
          <t>Fingertip force sensors (x2, proof of concept)</t>
        </is>
      </c>
      <c r="B25" s="21" t="inlineStr">
        <is>
          <t>Interlink FSR 402 (30-81794), genuine - DigiKey.ca</t>
        </is>
      </c>
      <c r="C25" s="22" t="inlineStr">
        <is>
          <t>https://www.digikey.ca/en/products/detail/interlink-electronics/30-81794/2476468</t>
        </is>
      </c>
      <c r="D25" s="23" t="n">
        <v>10.43</v>
      </c>
      <c r="E25" s="24" t="n">
        <v>2</v>
      </c>
      <c r="F25" s="25">
        <f>D25*E25</f>
        <v/>
      </c>
      <c r="G25" s="21" t="inlineStr">
        <is>
          <t>One per hand (e.g. index finger) on an ESP32 ADC pin via 10k divider. Qty-1 price break $10.43; qty 10 drops to $9.02/ea ($90.19) if you want all fingertips. DigiKey shipping for small orders NOT verified (free over $100 CAD). Amazon clones have 1 review - avoid.</t>
        </is>
      </c>
    </row>
    <row r="26">
      <c r="A26" s="26" t="inlineStr">
        <is>
          <t>Optional subtotal (pre-tax)</t>
        </is>
      </c>
      <c r="B26" s="20" t="n"/>
      <c r="C26" s="20" t="n"/>
      <c r="D26" s="20" t="n"/>
      <c r="E26" s="20" t="n"/>
      <c r="F26" s="27">
        <f>SUM(F25:F25)</f>
        <v/>
      </c>
      <c r="G26" s="20" t="n"/>
    </row>
    <row r="27">
      <c r="A27" s="26" t="inlineStr">
        <is>
          <t>Core + optional, incl. tax</t>
        </is>
      </c>
      <c r="B27" s="20" t="n"/>
      <c r="C27" s="20" t="n"/>
      <c r="D27" s="20" t="n"/>
      <c r="E27" s="20" t="n"/>
      <c r="F27" s="27">
        <f>(F17+F26)*(1+$D$3)</f>
        <v/>
      </c>
      <c r="G27" s="20" t="n"/>
    </row>
    <row r="28">
      <c r="A28" s="26" t="inlineStr">
        <is>
          <t>Still under $500 with sensors?</t>
        </is>
      </c>
      <c r="B28" s="20" t="n"/>
      <c r="C28" s="20" t="n"/>
      <c r="D28" s="20" t="n"/>
      <c r="E28" s="20" t="n"/>
      <c r="F28" s="19">
        <f>IF(F27&lt;=$B$3,"YES","NO")</f>
        <v/>
      </c>
      <c r="G28" s="20" t="n"/>
    </row>
    <row r="30">
      <c r="A30" s="3" t="inlineStr">
        <is>
          <t>Notes</t>
        </is>
      </c>
    </row>
    <row r="31" ht="28" customHeight="1">
      <c r="A31" s="28" t="inlineStr">
        <is>
          <t>RECOMMENDATION: buy the core list + the 2 FSRs. Both fit comfortably under $500 CAD with tax, leaving room for shipping and a spare servo pack.</t>
        </is>
      </c>
    </row>
    <row r="32" ht="28" customHeight="1">
      <c r="A32" s="28" t="inlineStr">
        <is>
          <t>If you later want all 10 fingertips sensed, the DigiKey 10-pack ($90.19) still keeps core + sensors under $500 with tax.</t>
        </is>
      </c>
    </row>
    <row r="33" ht="28" customHeight="1">
      <c r="A33" s="28" t="inlineStr">
        <is>
          <t>Wiring rule: ESP32 3.3V/GND -&gt; PCA9685 VCC/GND, SDA/SCL -&gt; GPIO21/22. PSU (6V) -&gt; PCA9685 V+ screw terminal. Common ground between PSU and ESP32. Never feed servos from the ESP32 5V pin.</t>
        </is>
      </c>
    </row>
    <row r="34" ht="28" customHeight="1">
      <c r="A34" s="28" t="inlineStr">
        <is>
          <t>Not included: shipping (most Amazon.ca items ship free with Prime or over $35), tools (soldering iron, crimper), and fasteners/bearings from the InMoov print list.</t>
        </is>
      </c>
    </row>
    <row r="35" ht="28" customHeight="1">
      <c r="A35" s="28" t="inlineStr">
        <is>
          <t>Prices change daily - re-check the links before ordering. See 'Alternatives' for budget/premium swaps and 'Phase 2 - Full robot' for arms/base.</t>
        </is>
      </c>
    </row>
  </sheetData>
  <mergeCells count="13">
    <mergeCell ref="A21:E21"/>
    <mergeCell ref="A32:G32"/>
    <mergeCell ref="A20:E20"/>
    <mergeCell ref="A26:E26"/>
    <mergeCell ref="A31:G31"/>
    <mergeCell ref="A28:E28"/>
    <mergeCell ref="A34:G34"/>
    <mergeCell ref="A35:G35"/>
    <mergeCell ref="A19:E19"/>
    <mergeCell ref="A33:G33"/>
    <mergeCell ref="A17:E17"/>
    <mergeCell ref="A18:E18"/>
    <mergeCell ref="A27:E27"/>
  </mergeCells>
  <hyperlinks>
    <hyperlink xmlns:r="http://schemas.openxmlformats.org/officeDocument/2006/relationships" ref="C7" r:id="rId1"/>
    <hyperlink xmlns:r="http://schemas.openxmlformats.org/officeDocument/2006/relationships" ref="C8" r:id="rId2"/>
    <hyperlink xmlns:r="http://schemas.openxmlformats.org/officeDocument/2006/relationships" ref="C9" r:id="rId3"/>
    <hyperlink xmlns:r="http://schemas.openxmlformats.org/officeDocument/2006/relationships" ref="C10" r:id="rId4"/>
    <hyperlink xmlns:r="http://schemas.openxmlformats.org/officeDocument/2006/relationships" ref="C11" r:id="rId5"/>
    <hyperlink xmlns:r="http://schemas.openxmlformats.org/officeDocument/2006/relationships" ref="C12" r:id="rId6"/>
    <hyperlink xmlns:r="http://schemas.openxmlformats.org/officeDocument/2006/relationships" ref="C13" r:id="rId7"/>
    <hyperlink xmlns:r="http://schemas.openxmlformats.org/officeDocument/2006/relationships" ref="C14" r:id="rId8"/>
    <hyperlink xmlns:r="http://schemas.openxmlformats.org/officeDocument/2006/relationships" ref="C15" r:id="rId9"/>
    <hyperlink xmlns:r="http://schemas.openxmlformats.org/officeDocument/2006/relationships" ref="C16" r:id="rId10"/>
    <hyperlink xmlns:r="http://schemas.openxmlformats.org/officeDocument/2006/relationships" ref="C2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44" customWidth="1" min="3" max="3"/>
    <col width="15" customWidth="1" min="4" max="4"/>
    <col width="10" customWidth="1" min="5" max="5"/>
    <col width="16" customWidth="1" min="6" max="6"/>
    <col width="80" customWidth="1" min="7" max="7"/>
  </cols>
  <sheetData>
    <row r="1">
      <c r="A1" s="1" t="inlineStr">
        <is>
          <t>Alternatives &amp; swaps (not in any total unless you swap them in)</t>
        </is>
      </c>
    </row>
    <row r="3">
      <c r="A3" s="8" t="inlineStr">
        <is>
          <t>Item</t>
        </is>
      </c>
      <c r="B3" s="8" t="inlineStr">
        <is>
          <t>Product Name</t>
        </is>
      </c>
      <c r="C3" s="8" t="inlineStr">
        <is>
          <t>Link</t>
        </is>
      </c>
      <c r="D3" s="8" t="inlineStr">
        <is>
          <t>Pack Price (CAD)</t>
        </is>
      </c>
      <c r="E3" s="8" t="inlineStr">
        <is>
          <t>Packs</t>
        </is>
      </c>
      <c r="F3" s="8" t="inlineStr">
        <is>
          <t>Line Total (CAD)</t>
        </is>
      </c>
      <c r="G3" s="8" t="inlineStr">
        <is>
          <t>Notes/Rationale</t>
        </is>
      </c>
    </row>
    <row r="4">
      <c r="A4" s="9" t="inlineStr">
        <is>
          <t>Servos - BUDGET tier</t>
        </is>
      </c>
      <c r="B4" s="9" t="inlineStr">
        <is>
          <t>Miuzei MG90S Metal Gear Micro Servo, 10-Pack</t>
        </is>
      </c>
      <c r="C4" s="10" t="inlineStr">
        <is>
          <t>https://www.amazon.ca/dp/B0BWJ26PX2</t>
        </is>
      </c>
      <c r="D4" s="11" t="n">
        <v>39.99</v>
      </c>
      <c r="E4" s="12" t="n">
        <v>1</v>
      </c>
      <c r="F4" s="13">
        <f>D4*E4</f>
        <v/>
      </c>
      <c r="G4" s="9" t="inlineStr">
        <is>
          <t>Saves $65.67 vs MG996R, but only ~2 kg-cm and micro size: needs a remixed (non-stock) InMoov forearm. 4.5* (784).</t>
        </is>
      </c>
    </row>
    <row r="5">
      <c r="A5" s="9" t="inlineStr">
        <is>
          <t>Servos - cheapest metal-gear standard</t>
        </is>
      </c>
      <c r="B5" s="9" t="inlineStr">
        <is>
          <t>Aideepen MG996R, 6-Pack</t>
        </is>
      </c>
      <c r="C5" s="10" t="inlineStr">
        <is>
          <t>https://www.amazon.ca/dp/B09LS7RB5J</t>
        </is>
      </c>
      <c r="D5" s="11" t="n">
        <v>39.99</v>
      </c>
      <c r="E5" s="12" t="n">
        <v>2</v>
      </c>
      <c r="F5" s="13">
        <f>D5*E5</f>
        <v/>
      </c>
      <c r="G5" s="9" t="inlineStr">
        <is>
          <t>12 servos for $79.98. Fallback if Deegoo sells out. Price from search results page. 4.3* (123).</t>
        </is>
      </c>
    </row>
    <row r="6">
      <c r="A6" s="9" t="inlineStr">
        <is>
          <t>Servos - alt MG996R</t>
        </is>
      </c>
      <c r="B6" s="9" t="inlineStr">
        <is>
          <t>Miuzei MG996R Metal Gear, 4-Pack</t>
        </is>
      </c>
      <c r="C6" s="10" t="inlineStr">
        <is>
          <t>https://www.amazon.ca/dp/B0BZ4N367M</t>
        </is>
      </c>
      <c r="D6" s="11" t="n">
        <v>42.99</v>
      </c>
      <c r="E6" s="12" t="n">
        <v>3</v>
      </c>
      <c r="F6" s="13">
        <f>D6*E6</f>
        <v/>
      </c>
      <c r="G6" s="9" t="inlineStr">
        <is>
          <t>Spec'd 15.2 kg-cm @6V. 4.4* (163).</t>
        </is>
      </c>
    </row>
    <row r="7">
      <c r="A7" s="9" t="inlineStr">
        <is>
          <t>Servos - PREMIUM tier</t>
        </is>
      </c>
      <c r="B7" s="9" t="inlineStr">
        <is>
          <t>Miuzei 20KG DS3218 Metal Gear Digital, 180deg, 4-Pack</t>
        </is>
      </c>
      <c r="C7" s="10" t="inlineStr">
        <is>
          <t>https://www.amazon.ca/dp/B0FH53CKCS</t>
        </is>
      </c>
      <c r="D7" s="11" t="n">
        <v>65.98999999999999</v>
      </c>
      <c r="E7" s="12" t="n">
        <v>3</v>
      </c>
      <c r="F7" s="13">
        <f>D7*E7</f>
        <v/>
      </c>
      <c r="G7" s="9" t="inlineStr">
        <is>
          <t>~20 kg-cm, stronger grip; $197.97 for 12 (+$92 vs core). Search results price. 4.6* (47).</t>
        </is>
      </c>
    </row>
    <row r="8">
      <c r="A8" s="9" t="inlineStr">
        <is>
          <t>Servo driver - single board</t>
        </is>
      </c>
      <c r="B8" s="9" t="inlineStr">
        <is>
          <t>JZK PCA9685 16-Channel PWM Driver (single)</t>
        </is>
      </c>
      <c r="C8" s="10" t="inlineStr">
        <is>
          <t>https://www.amazon.ca/dp/B06XSFFXQY</t>
        </is>
      </c>
      <c r="D8" s="11" t="n">
        <v>10.59</v>
      </c>
      <c r="E8" s="12" t="n">
        <v>1</v>
      </c>
      <c r="F8" s="13">
        <f>D8*E8</f>
        <v/>
      </c>
      <c r="G8" s="9" t="inlineStr">
        <is>
          <t>One board can run all 10 servos, but then one ESP32 drives both hands. 4.3* (222).</t>
        </is>
      </c>
    </row>
    <row r="9">
      <c r="A9" s="9" t="inlineStr">
        <is>
          <t>Power - alt per-hand PSU</t>
        </is>
      </c>
      <c r="B9" s="9" t="inlineStr">
        <is>
          <t>SHNITPWR 3.5-12V 12A 144W Adjustable</t>
        </is>
      </c>
      <c r="C9" s="10" t="inlineStr">
        <is>
          <t>https://www.amazon.ca/dp/B0CKXW6ZCJ</t>
        </is>
      </c>
      <c r="D9" s="11" t="n">
        <v>36.79</v>
      </c>
      <c r="E9" s="12" t="n">
        <v>2</v>
      </c>
      <c r="F9" s="13">
        <f>D9*E9</f>
        <v/>
      </c>
      <c r="G9" s="9" t="inlineStr">
        <is>
          <t>More headroom, same price. 4.1* (102).</t>
        </is>
      </c>
    </row>
    <row r="10">
      <c r="A10" s="9" t="inlineStr">
        <is>
          <t>Power - ONE supply for both hands</t>
        </is>
      </c>
      <c r="B10" s="9" t="inlineStr">
        <is>
          <t>Aclorol 5V 20A 100W Switching PSU (screw terminals)</t>
        </is>
      </c>
      <c r="C10" s="10" t="inlineStr">
        <is>
          <t>https://www.amazon.ca/dp/B07KC55TJF</t>
        </is>
      </c>
      <c r="D10" s="11" t="n">
        <v>39.44</v>
      </c>
      <c r="E10" s="12" t="n">
        <v>1</v>
      </c>
      <c r="F10" s="13">
        <f>D10*E10</f>
        <v/>
      </c>
      <c r="G10" s="9" t="inlineStr">
        <is>
          <t>Saves ~$34 but max ~5.75V (less torque), single point of failure, exposed mains terminals need a cover. Needs AC cord below. 4.5* (182).</t>
        </is>
      </c>
    </row>
    <row r="11">
      <c r="A11" s="9" t="inlineStr">
        <is>
          <t>Power - AC cord for 20A PSU</t>
        </is>
      </c>
      <c r="B11" s="9" t="inlineStr">
        <is>
          <t>Bergen 3ft 16AWG 3-wire pigtail cord</t>
        </is>
      </c>
      <c r="C11" s="10" t="inlineStr">
        <is>
          <t>https://www.amazon.ca/dp/B07BQCMPF2</t>
        </is>
      </c>
      <c r="D11" s="11" t="n">
        <v>6.87</v>
      </c>
      <c r="E11" s="12" t="n">
        <v>1</v>
      </c>
      <c r="F11" s="13">
        <f>D11*E11</f>
        <v/>
      </c>
      <c r="G11" s="9" t="inlineStr">
        <is>
          <t>Only with the single-PSU option. Search results price.</t>
        </is>
      </c>
    </row>
    <row r="12">
      <c r="A12" s="9" t="inlineStr">
        <is>
          <t>Barrel adapters - small pack</t>
        </is>
      </c>
      <c r="B12" s="9" t="inlineStr">
        <is>
          <t>2 Male + 2 Female 5.5x2.1 to Screw Terminal</t>
        </is>
      </c>
      <c r="C12" s="10" t="inlineStr">
        <is>
          <t>https://www.amazon.ca/dp/B07JMY5XXT</t>
        </is>
      </c>
      <c r="D12" s="11" t="n">
        <v>9.35</v>
      </c>
      <c r="E12" s="12" t="n">
        <v>1</v>
      </c>
      <c r="F12" s="13">
        <f>D12*E12</f>
        <v/>
      </c>
      <c r="G12" s="9" t="inlineStr">
        <is>
          <t>Search results price. 4.6* (114).</t>
        </is>
      </c>
    </row>
    <row r="13">
      <c r="A13" s="9" t="inlineStr">
        <is>
          <t>Tendon - alt</t>
        </is>
      </c>
      <c r="B13" s="9" t="inlineStr">
        <is>
          <t>Reaction Tackle Braided Line 50lb 150yd</t>
        </is>
      </c>
      <c r="C13" s="10" t="inlineStr">
        <is>
          <t>https://www.amazon.ca/dp/B01MRMI7R1</t>
        </is>
      </c>
      <c r="D13" s="11" t="n">
        <v>21.41</v>
      </c>
      <c r="E13" s="12" t="n">
        <v>1</v>
      </c>
      <c r="F13" s="13">
        <f>D13*E13</f>
        <v/>
      </c>
      <c r="G13" s="9" t="inlineStr">
        <is>
          <t>4.3* (26.5K). Diameter not listed.</t>
        </is>
      </c>
    </row>
    <row r="14">
      <c r="A14" s="9" t="inlineStr">
        <is>
          <t>Springs - alt</t>
        </is>
      </c>
      <c r="B14" s="9" t="inlineStr">
        <is>
          <t>Glarks 100pc Extension Springs, 25 sizes x 4</t>
        </is>
      </c>
      <c r="C14" s="10" t="inlineStr">
        <is>
          <t>https://www.amazon.ca/dp/B0D7CP84F4</t>
        </is>
      </c>
      <c r="D14" s="11" t="n">
        <v>20.95</v>
      </c>
      <c r="E14" s="12" t="n">
        <v>1</v>
      </c>
      <c r="F14" s="13">
        <f>D14*E14</f>
        <v/>
      </c>
      <c r="G14" s="9" t="inlineStr">
        <is>
          <t>Only 4 per size - not enough matching springs for 10 fingers.</t>
        </is>
      </c>
    </row>
    <row r="15">
      <c r="A15" s="9" t="inlineStr">
        <is>
          <t>Jumper kit - alt</t>
        </is>
      </c>
      <c r="B15" s="9" t="inlineStr">
        <is>
          <t>240pc 10cm+20cm Jumper Wire Kit</t>
        </is>
      </c>
      <c r="C15" s="10" t="inlineStr">
        <is>
          <t>https://www.amazon.ca/dp/B0BTT48V7P</t>
        </is>
      </c>
      <c r="D15" s="11" t="n">
        <v>15.99</v>
      </c>
      <c r="E15" s="12" t="n">
        <v>1</v>
      </c>
      <c r="F15" s="13">
        <f>D15*E15</f>
        <v/>
      </c>
      <c r="G15" s="9" t="inlineStr">
        <is>
          <t>Search results price. 4.6* (551).</t>
        </is>
      </c>
    </row>
    <row r="16">
      <c r="A16" s="9" t="inlineStr">
        <is>
          <t>Servo extensions - Prime alt</t>
        </is>
      </c>
      <c r="B16" s="9" t="inlineStr">
        <is>
          <t>10pc 30cm 3-Pin Servo Extension (Futaba/JR)</t>
        </is>
      </c>
      <c r="C16" s="10" t="inlineStr">
        <is>
          <t>https://www.amazon.ca/dp/B07NJB58XC</t>
        </is>
      </c>
      <c r="D16" s="11" t="n">
        <v>11.99</v>
      </c>
      <c r="E16" s="12" t="n">
        <v>1</v>
      </c>
      <c r="F16" s="13">
        <f>D16*E16</f>
        <v/>
      </c>
      <c r="G16" s="9" t="inlineStr">
        <is>
          <t>Shipped by Amazon (faster). 4.4* (40).</t>
        </is>
      </c>
    </row>
    <row r="17">
      <c r="A17" s="9" t="inlineStr">
        <is>
          <t>Power wire - longer</t>
        </is>
      </c>
      <c r="B17" s="9" t="inlineStr">
        <is>
          <t>BNTECHGO 18 AWG Silicone Wire 25ft</t>
        </is>
      </c>
      <c r="C17" s="10" t="inlineStr">
        <is>
          <t>https://www.amazon.ca/dp/B07HGTKQ89</t>
        </is>
      </c>
      <c r="D17" s="11" t="n">
        <v>19.82</v>
      </c>
      <c r="E17" s="12" t="n">
        <v>1</v>
      </c>
      <c r="F17" s="13">
        <f>D17*E17</f>
        <v/>
      </c>
      <c r="G17" s="9" t="inlineStr">
        <is>
          <t>Search results price.</t>
        </is>
      </c>
    </row>
    <row r="18">
      <c r="A18" s="9" t="inlineStr">
        <is>
          <t>FSR - 10 genuine (all fingertips)</t>
        </is>
      </c>
      <c r="B18" s="9" t="inlineStr">
        <is>
          <t>Interlink FSR 402 (30-81794) x10 - DigiKey.ca</t>
        </is>
      </c>
      <c r="C18" s="10" t="inlineStr">
        <is>
          <t>https://www.digikey.ca/en/products/detail/interlink-electronics/30-81794/2476468</t>
        </is>
      </c>
      <c r="D18" s="11" t="n">
        <v>90.19</v>
      </c>
      <c r="E18" s="12" t="n">
        <v>1</v>
      </c>
      <c r="F18" s="13">
        <f>D18*E18</f>
        <v/>
      </c>
      <c r="G18" s="9" t="inlineStr">
        <is>
          <t>$9.02/ea at qty 10; one per fingertip on both hands.</t>
        </is>
      </c>
    </row>
    <row r="19">
      <c r="A19" s="9" t="inlineStr">
        <is>
          <t>FSR - Amazon clone</t>
        </is>
      </c>
      <c r="B19" s="9" t="inlineStr">
        <is>
          <t>RELAND SUN FSR402-short (clone), sold singly</t>
        </is>
      </c>
      <c r="C19" s="10" t="inlineStr">
        <is>
          <t>https://www.amazon.ca/dp/B0B5F7JDT5</t>
        </is>
      </c>
      <c r="D19" s="11" t="n">
        <v>8.19</v>
      </c>
      <c r="E19" s="12" t="n">
        <v>10</v>
      </c>
      <c r="F19" s="13">
        <f>D19*E19</f>
        <v/>
      </c>
      <c r="G19" s="9" t="inlineStr">
        <is>
          <t>Only 1 review, +$9.50 shipping. Not recommended.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44" customWidth="1" min="3" max="3"/>
    <col width="15" customWidth="1" min="4" max="4"/>
    <col width="10" customWidth="1" min="5" max="5"/>
    <col width="16" customWidth="1" min="6" max="6"/>
    <col width="80" customWidth="1" min="7" max="7"/>
  </cols>
  <sheetData>
    <row r="1">
      <c r="A1" s="1" t="inlineStr">
        <is>
          <t>Phase 2 - Life-size InMoov humanoid v1 (both arms on stock InMoov STLs + wheeled base) - prices in CAD</t>
        </is>
      </c>
    </row>
    <row r="2">
      <c r="A2" s="2" t="inlineStr">
        <is>
          <t>Both arms C$452.30 pre-tax (cap C$500). Whole phase 2 C$1077.15; plus the hands cart (already bought) C$316.40. Arm servos per arm: omoplate, rotate, bicep = DS5160 60 kg with the pot moved to the joint (Gael's mod); shoulder = DS5160 pot in place, limited 0-80; wrist + 5 fingers = owned MG996R. DS5160 is the HS-805BB footprint (65x30 mm) but 10 mm shorter: expect a printed spacer under the tabs; test-fit one before printing everything. Exact drop-in is the PDI-HV2060MG (~C$54 each, would break the cap). Removed vs round 3: 8x NFP 5840 worm motors, 8x BTS7960, 8x AS5600 (custom-arm parts that don't mount in InMoov STLs). The owned PCA9685s drive the arm servos.</t>
        </is>
      </c>
    </row>
    <row r="3">
      <c r="C3" s="3" t="inlineStr">
        <is>
          <t>USD-&gt;CAD rate (assumed, verify)</t>
        </is>
      </c>
      <c r="D3" s="29" t="n">
        <v>1.38</v>
      </c>
    </row>
    <row r="5">
      <c r="A5" s="8" t="inlineStr">
        <is>
          <t>Item</t>
        </is>
      </c>
      <c r="B5" s="8" t="inlineStr">
        <is>
          <t>Product / Vendor</t>
        </is>
      </c>
      <c r="C5" s="8" t="inlineStr">
        <is>
          <t>Link</t>
        </is>
      </c>
      <c r="D5" s="8" t="inlineStr">
        <is>
          <t>Unit Price (CAD)</t>
        </is>
      </c>
      <c r="E5" s="8" t="inlineStr">
        <is>
          <t>Quantity</t>
        </is>
      </c>
      <c r="F5" s="8" t="inlineStr">
        <is>
          <t>Line Total (CAD)</t>
        </is>
      </c>
      <c r="G5" s="8" t="inlineStr">
        <is>
          <t>Notes/Rationale</t>
        </is>
      </c>
    </row>
    <row r="6">
      <c r="A6" s="9" t="inlineStr">
        <is>
          <t>ARM: Big arm servos (omoplate, shoulder, rotate, bicep x 2 arms)</t>
        </is>
      </c>
      <c r="B6" s="9" t="inlineStr">
        <is>
          <t>DS5160 SSG 60 kg HV digital servo, 180deg variant (RC Toys Upgrade Haven Store, 4.9 stars, 471 sold)</t>
        </is>
      </c>
      <c r="C6" s="10" t="inlineStr">
        <is>
          <t>https://www.aliexpress.com/item/1005005676958064.html</t>
        </is>
      </c>
      <c r="D6" s="11" t="n">
        <v>32.84</v>
      </c>
      <c r="E6" s="12" t="n">
        <v>8</v>
      </c>
      <c r="F6" s="13">
        <f>D6*E6</f>
        <v/>
      </c>
      <c r="G6" s="9" t="inlineStr">
        <is>
          <t>ALIEXPRESS, FLAGGED: Amazon.ca DS5160 listings are C$50-57 each (one visible at C$56.75), so 8 of them would take C$400-450 of the C$500 cap. AliExpress shows free shipping. Pick the 180deg variant, not 270. 58 kg-cm at 6 V / 70 kg-cm at 8.4 V, about 2.5x an HS-805BB. The price could be a first-order deal, so re-check it in the cart. Amazon.ca fallback: ANNIMOS 60KG B07KTSCN4J (194 ratings), ZOSKAY B07K48FQ1N (85), 2-pack B09JGBW9KZ. [verified-on-page (AliExpress item page, C$32.84, free shipping)]</t>
        </is>
      </c>
    </row>
    <row r="7">
      <c r="A7" s="9" t="inlineStr">
        <is>
          <t>ARM: Arm servo power (one per arm, set to 7.4 V)</t>
        </is>
      </c>
      <c r="B7" s="9" t="inlineStr">
        <is>
          <t>SHNITPWR 3.5-12V adjustable 12A 144W PSU</t>
        </is>
      </c>
      <c r="C7" s="10" t="inlineStr">
        <is>
          <t>https://www.amazon.ca/dp/B0CKXW6ZCJ</t>
        </is>
      </c>
      <c r="D7" s="11" t="n">
        <v>36.79</v>
      </c>
      <c r="E7" s="12" t="n">
        <v>2</v>
      </c>
      <c r="F7" s="13">
        <f>D7*E7</f>
        <v/>
      </c>
      <c r="G7" s="9" t="inlineStr">
        <is>
          <t>Same family as the hand PSUs you already own. Each one runs the 4 big servos of one arm. The worm joints hold their position with the power off, so only 1-2 servos load up at a time. Gael runs a single 6 V 40-60 A supply for the whole robot; splitting per arm means one supply can't brown out the whole robot. Alternative: Aclorol 5V 60A B07KC3KSHP at C$51.38 (verified on the search page), but it only reaches about 5.5 V. [price from the existing bom.json alternatives (earlier check), not re-verified today because Amazon.ca hides prices on a Santa Clara address]</t>
        </is>
      </c>
    </row>
    <row r="8">
      <c r="A8" s="9" t="inlineStr">
        <is>
          <t>ARM: M3/M4 countersunk bolts + nuts</t>
        </is>
      </c>
      <c r="B8" s="9" t="inlineStr">
        <is>
          <t>DYWISHKEY 500pcs M3 M4 M5 304 stainless flat-head countersunk socket cap screws + nuts</t>
        </is>
      </c>
      <c r="C8" s="10" t="inlineStr">
        <is>
          <t>https://www.amazon.ca/dp/B08QD6TT2N</t>
        </is>
      </c>
      <c r="D8" s="11" t="n">
        <v>35.47</v>
      </c>
      <c r="E8" s="12" t="n">
        <v>1</v>
      </c>
      <c r="F8" s="13">
        <f>D8*E8</f>
        <v/>
      </c>
      <c r="G8" s="9" t="inlineStr">
        <is>
          <t>InMoov BOM calls for about 50x M3x20 and 50x M4x20 countersunk, plus M3 nuts. Check the kit goes up to 20 mm (the thesis lists 3 mm screws at 12/20/30/35 mm). This overlaps the phase2 'Hardware' line (LuKaiSen kit C$15.99); you can drop that kit's screws and keep only the heat-set inserts. [verified on the Amazon.ca search results page (C$35.47, 55 ratings)]</t>
        </is>
      </c>
    </row>
    <row r="9">
      <c r="A9" s="9" t="inlineStr">
        <is>
          <t>ARM: Spare 10k pots for the pot-relocation mod</t>
        </is>
      </c>
      <c r="B9" s="9" t="inlineStr">
        <is>
          <t>uxcell WH148 10K rotary potentiometer, 10 pcs</t>
        </is>
      </c>
      <c r="C9" s="10" t="inlineStr">
        <is>
          <t>https://www.amazon.ca/dp/B07JM62B3Q</t>
        </is>
      </c>
      <c r="D9" s="11" t="n">
        <v>13.99</v>
      </c>
      <c r="E9" s="12" t="n">
        <v>1</v>
      </c>
      <c r="F9" s="13">
        <f>D9*E9</f>
        <v/>
      </c>
      <c r="G9" s="9" t="inlineStr">
        <is>
          <t>The first choice is to reuse each servo's own pot on an extension lead (Gael: cut the wires and splice in length, don't desolder at the PCB). Builders break these pots by over-rotating them, so spares are needed. The pot works as a voltage divider, so a 10k pot replacing a ~5k pot still works. Gael uses round pots (PivPotentioRound) and a square version exists; a WH148 needs a holder like Thingiverse thing:6923985 (shoulder, metal linear pot) or thing:1464929 (bicep, square pot). The listing title says 'Dual'; if it turns out to be dual-gang, use one gang. [verified on the Amazon.ca search results page (C$13.99); single vs dual gang not confirmed]</t>
        </is>
      </c>
    </row>
    <row r="10">
      <c r="A10" s="9" t="inlineStr">
        <is>
          <t>ARM: 6 mm BBs for the shoulder/rotate ball races</t>
        </is>
      </c>
      <c r="B10" s="9" t="inlineStr">
        <is>
          <t>Lancer Tactical 0.20 g 6 mm BBs, 4000-round bag</t>
        </is>
      </c>
      <c r="C10" s="10" t="inlineStr">
        <is>
          <t>https://www.amazon.ca/dp/B00HC1U0LO</t>
        </is>
      </c>
      <c r="D10" s="11" t="n">
        <v>13</v>
      </c>
      <c r="E10" s="12" t="n">
        <v>1</v>
      </c>
      <c r="F10" s="13">
        <f>D10*E10</f>
        <v/>
      </c>
      <c r="G10" s="9" t="inlineStr">
        <is>
          <t>Per arm: PivCenter 27 + PivMit 31 + RotCenter 27 + RotMit 31 = 116 balls, so 232 for both arms. The classic InMoov arm needs no other ball bearings. Gael warns that some greases dissolve plastic BBs, so use PTFE/silicone grease only. Canadian Tire sells the same BBs for about the same price. [estimate (Amazon.ca hides the price for this delivery address)]</t>
        </is>
      </c>
    </row>
    <row r="11">
      <c r="A11" s="9" t="inlineStr">
        <is>
          <t>ARM: Servo extension leads (pot relocation + reaching the PCA9685)</t>
        </is>
      </c>
      <c r="B11" s="9" t="inlineStr">
        <is>
          <t>10pc 30cm 3-pin servo extension cable (JR, F-M)</t>
        </is>
      </c>
      <c r="C11" s="10" t="inlineStr">
        <is>
          <t>https://www.amazon.ca/dp/B09VGDJ6Z8</t>
        </is>
      </c>
      <c r="D11" s="11" t="n">
        <v>8.27</v>
      </c>
      <c r="E11" s="12" t="n">
        <v>2</v>
      </c>
      <c r="F11" s="13">
        <f>D11*E11</f>
        <v/>
      </c>
      <c r="G11" s="9" t="inlineStr">
        <is>
          <t>3 relocated pots per arm need 25-35 cm leads, plus the 8 big servos need to reach the controller. Same SKU as the phase1 cart. [price from phase1 bom.json (earlier check)]</t>
        </is>
      </c>
    </row>
    <row r="12">
      <c r="A12" s="9" t="inlineStr">
        <is>
          <t>ARM: Servo mounting wood screws</t>
        </is>
      </c>
      <c r="B12" s="9" t="inlineStr">
        <is>
          <t>Self-tapping screw assortment incl. M3x12 and 3.5x16 mm (4 per big servo)</t>
        </is>
      </c>
      <c r="C12" s="10" t="inlineStr">
        <is>
          <t>https://www.amazon.ca/s?k=self+tapping+screw+assortment+m3</t>
        </is>
      </c>
      <c r="D12" s="11" t="n">
        <v>10</v>
      </c>
      <c r="E12" s="12" t="n">
        <v>1</v>
      </c>
      <c r="F12" s="13">
        <f>D12*E12</f>
        <v/>
      </c>
      <c r="G12" s="9" t="inlineStr">
        <is>
          <t>InMoov BOM: about 100x M3x12 for small servos and about 50x M4x20 for large servos. Use a hardware store if that's cheaper. [estimate]</t>
        </is>
      </c>
    </row>
    <row r="13">
      <c r="A13" s="9" t="inlineStr">
        <is>
          <t>ARM: M8 through-bolts</t>
        </is>
      </c>
      <c r="B13" s="9" t="inlineStr">
        <is>
          <t>M8x90-100 mm bolts + nylock nuts (about 6)</t>
        </is>
      </c>
      <c r="C13" s="10" t="inlineStr">
        <is>
          <t>https://www.homedepot.ca/</t>
        </is>
      </c>
      <c r="D13" s="11" t="n">
        <v>15</v>
      </c>
      <c r="E13" s="12" t="n">
        <v>1</v>
      </c>
      <c r="F13" s="13">
        <f>D13*E13</f>
        <v/>
      </c>
      <c r="G13" s="9" t="inlineStr">
        <is>
          <t>One M8x90 per shoulder-to-Clavi joint, plus the elbow and wrist axles (the wrist uses an 8 mm x 6 cm bolt). The InMoov BOM lists about 15x M8x100 for the whole robot. A hardware store is cheapest. [estimate]</t>
        </is>
      </c>
    </row>
    <row r="14">
      <c r="A14" s="9" t="inlineStr">
        <is>
          <t>ARM: Worm/gear grease</t>
        </is>
      </c>
      <c r="B14" s="9" t="inlineStr">
        <is>
          <t>PTFE grease (Super Lube 21030 class)</t>
        </is>
      </c>
      <c r="C14" s="10" t="inlineStr">
        <is>
          <t>https://www.amazon.ca/s?k=super+lube+ptfe+grease</t>
        </is>
      </c>
      <c r="D14" s="11" t="n">
        <v>12</v>
      </c>
      <c r="E14" s="12" t="n">
        <v>1</v>
      </c>
      <c r="F14" s="13">
        <f>D14*E14</f>
        <v/>
      </c>
      <c r="G14" s="9" t="inlineStr">
        <is>
          <t>Needed on the PivWorm/RotWorm and the ball races. Must not attack ABS/PLA or the plastic BBs. [estimate]</t>
        </is>
      </c>
    </row>
    <row r="15">
      <c r="A15" s="9" t="inlineStr">
        <is>
          <t>Neck x2 + spares</t>
        </is>
      </c>
      <c r="B15" s="9" t="inlineStr">
        <is>
          <t>Feetech STS3215 12V 30 kg-cm bus servo, 6-pack (official store)</t>
        </is>
      </c>
      <c r="C15" s="10" t="inlineStr">
        <is>
          <t>https://www.aliexpress.com/item/1005008670304643.html</t>
        </is>
      </c>
      <c r="D15" s="11" t="n">
        <v>166.42</v>
      </c>
      <c r="E15" s="12" t="n">
        <v>1</v>
      </c>
      <c r="F15" s="13">
        <f>D15*E15</f>
        <v/>
      </c>
      <c r="G15" s="9" t="inlineStr">
        <is>
          <t>C$160.99 + C$5.43 shipping, 4.9 stars, 232 sold. Checked on the page. Wrists moved to the owned MG996Rs (InMoov wrist uses MG996R).</t>
        </is>
      </c>
    </row>
    <row r="16">
      <c r="A16" s="9" t="inlineStr">
        <is>
          <t>Drive base</t>
        </is>
      </c>
      <c r="B16" s="9" t="inlineStr">
        <is>
          <t>Used hoverboard (2x 350 W hub motors + 36 V pack)</t>
        </is>
      </c>
      <c r="C16" s="10" t="inlineStr">
        <is>
          <t>https://www.kijiji.ca/b-city-of-toronto/hoverboard/k0c170l1700273</t>
        </is>
      </c>
      <c r="D16" s="11" t="n">
        <v>120</v>
      </c>
      <c r="E16" s="12" t="n">
        <v>1</v>
      </c>
      <c r="F16" s="13">
        <f>D16*E16</f>
        <v/>
      </c>
      <c r="G16" s="9" t="inlineStr">
        <is>
          <t>C$50-150 on Kijiji Toronto (43 ads). Open it before paying: single mainboard with STM32F103RCT6/RET6 or GD32F103RCT6 only; walk away from AT32F403/413 boards. Runs EFeru FOC firmware (free).</t>
        </is>
      </c>
    </row>
    <row r="17">
      <c r="A17" s="9" t="inlineStr">
        <is>
          <t>Base power converter</t>
        </is>
      </c>
      <c r="B17" s="9" t="inlineStr">
        <is>
          <t>DC-DC buck 30-60 V in -&gt; 12 V, 15 A+</t>
        </is>
      </c>
      <c r="C17" s="10" t="inlineStr">
        <is>
          <t>https://www.amazon.ca/</t>
        </is>
      </c>
      <c r="D17" s="11" t="n">
        <v>40</v>
      </c>
      <c r="E17" s="12" t="n">
        <v>1</v>
      </c>
      <c r="F17" s="13">
        <f>D17*E17</f>
        <v/>
      </c>
      <c r="G17" s="9" t="inlineStr">
        <is>
          <t>Estimate C$35-45. Must accept 42 V (a 36 V pack charges to 42 V), so an 18-36 V input unit will fail.</t>
        </is>
      </c>
    </row>
    <row r="18">
      <c r="A18" s="9" t="inlineStr">
        <is>
          <t>Casters (x2)</t>
        </is>
      </c>
      <c r="B18" s="9" t="inlineStr">
        <is>
          <t>2 in swivel casters</t>
        </is>
      </c>
      <c r="C18" s="10" t="inlineStr">
        <is>
          <t>https://www.amazon.ca/</t>
        </is>
      </c>
      <c r="D18" s="11" t="n">
        <v>20</v>
      </c>
      <c r="E18" s="12" t="n">
        <v>1</v>
      </c>
      <c r="F18" s="13">
        <f>D18*E18</f>
        <v/>
      </c>
      <c r="G18" s="9" t="inlineStr">
        <is>
          <t>Estimate. Stabilize the tall torso on the hoverboard base.</t>
        </is>
      </c>
    </row>
    <row r="19">
      <c r="A19" s="9" t="inlineStr">
        <is>
          <t>Safety + power wiring</t>
        </is>
      </c>
      <c r="B19" s="9" t="inlineStr">
        <is>
          <t>E-stop button, fuses, XT60 connectors, 14 AWG wire</t>
        </is>
      </c>
      <c r="C19" s="10" t="inlineStr">
        <is>
          <t>https://www.amazon.ca/</t>
        </is>
      </c>
      <c r="D19" s="11" t="n">
        <v>30</v>
      </c>
      <c r="E19" s="12" t="n">
        <v>1</v>
      </c>
      <c r="F19" s="13">
        <f>D19*E19</f>
        <v/>
      </c>
      <c r="G19" s="9" t="inlineStr">
        <is>
          <t>Estimate. Non-negotiable for a 1.8 m robot on wheels.</t>
        </is>
      </c>
    </row>
    <row r="20">
      <c r="A20" s="9" t="inlineStr">
        <is>
          <t>Servo bus adapters (x2)</t>
        </is>
      </c>
      <c r="B20" s="9" t="inlineStr">
        <is>
          <t>Waveshare Bus Servo Adapter (A)</t>
        </is>
      </c>
      <c r="C20" s="10" t="inlineStr">
        <is>
          <t>https://www.waveshare.com/bus-servo-adapter-a.htm</t>
        </is>
      </c>
      <c r="D20" s="11" t="n">
        <v>6.99</v>
      </c>
      <c r="E20" s="12" t="n">
        <v>2</v>
      </c>
      <c r="F20" s="13">
        <f>D20*E20</f>
        <v/>
      </c>
      <c r="G20" s="9" t="inlineStr">
        <is>
          <t>US$4.99 on waveshare.com; Canada shipping not checked.</t>
        </is>
      </c>
    </row>
    <row r="21">
      <c r="A21" s="9" t="inlineStr">
        <is>
          <t>Head camera</t>
        </is>
      </c>
      <c r="B21" s="9" t="inlineStr">
        <is>
          <t>EMEET C960 1080p webcam</t>
        </is>
      </c>
      <c r="C21" s="10" t="inlineStr">
        <is>
          <t>https://www.amazon.ca/dp/B07M6Y7355</t>
        </is>
      </c>
      <c r="D21" s="11" t="n">
        <v>34.99</v>
      </c>
      <c r="E21" s="12" t="n">
        <v>1</v>
      </c>
      <c r="F21" s="13">
        <f>D21*E21</f>
        <v/>
      </c>
      <c r="G21" s="9" t="inlineStr">
        <is>
          <t>4.4 stars, 32.5K ratings.</t>
        </is>
      </c>
    </row>
    <row r="22">
      <c r="A22" s="9" t="inlineStr">
        <is>
          <t>Wrist cameras (x2)</t>
        </is>
      </c>
      <c r="B22" s="9" t="inlineStr">
        <is>
          <t>1080p UVC wide-angle camera module</t>
        </is>
      </c>
      <c r="C22" s="10" t="inlineStr">
        <is>
          <t>https://www.aliexpress.com/w/wholesale-wide-angle-usb-camera.html</t>
        </is>
      </c>
      <c r="D22" s="11" t="n">
        <v>12</v>
      </c>
      <c r="E22" s="12" t="n">
        <v>2</v>
      </c>
      <c r="F22" s="13">
        <f>D22*E22</f>
        <v/>
      </c>
      <c r="G22" s="9" t="inlineStr">
        <is>
          <t>Estimate. Can wait until week 3.</t>
        </is>
      </c>
    </row>
    <row r="23">
      <c r="A23" s="9" t="inlineStr">
        <is>
          <t>Balance / motion sensor</t>
        </is>
      </c>
      <c r="B23" s="9" t="inlineStr">
        <is>
          <t>BNO085 9-axis IMU (clone)</t>
        </is>
      </c>
      <c r="C23" s="10" t="inlineStr">
        <is>
          <t>https://www.aliexpress.com/w/wholesale-bno085.html</t>
        </is>
      </c>
      <c r="D23" s="11" t="n">
        <v>17.58</v>
      </c>
      <c r="E23" s="12" t="n">
        <v>1</v>
      </c>
      <c r="F23" s="13">
        <f>D23*E23</f>
        <v/>
      </c>
      <c r="G23" s="9" t="inlineStr">
        <is>
          <t>Adafruit original is C$33-40.</t>
        </is>
      </c>
    </row>
    <row r="24">
      <c r="A24" s="9" t="inlineStr">
        <is>
          <t>Servo cables (x2 packs)</t>
        </is>
      </c>
      <c r="B24" s="9" t="inlineStr">
        <is>
          <t>5264 3-pin bus servo cable, 10-pack</t>
        </is>
      </c>
      <c r="C24" s="10" t="inlineStr">
        <is>
          <t>https://www.aliexpress.com/item/1005008074862037.html</t>
        </is>
      </c>
      <c r="D24" s="11" t="n">
        <v>6.72</v>
      </c>
      <c r="E24" s="12" t="n">
        <v>2</v>
      </c>
      <c r="F24" s="13">
        <f>D24*E24</f>
        <v/>
      </c>
      <c r="G24" s="9" t="inlineStr">
        <is>
          <t>+ ~C$8 shipping.</t>
        </is>
      </c>
    </row>
    <row r="25">
      <c r="A25" s="9" t="inlineStr">
        <is>
          <t>Powered USB hub</t>
        </is>
      </c>
      <c r="B25" s="9" t="inlineStr">
        <is>
          <t>7-port powered USB 3.0 hub (TP-Link UH700 class)</t>
        </is>
      </c>
      <c r="C25" s="10" t="inlineStr">
        <is>
          <t>https://www.amazon.ca/dp/B00OTK16FK</t>
        </is>
      </c>
      <c r="D25" s="11" t="n">
        <v>65</v>
      </c>
      <c r="E25" s="12" t="n">
        <v>1</v>
      </c>
      <c r="F25" s="13">
        <f>D25*E25</f>
        <v/>
      </c>
      <c r="G25" s="9" t="inlineStr">
        <is>
          <t>Checked: C$59-71 for reputable hubs.</t>
        </is>
      </c>
    </row>
    <row r="26">
      <c r="A26" s="9" t="inlineStr">
        <is>
          <t>Hardware</t>
        </is>
      </c>
      <c r="B26" s="9" t="inlineStr">
        <is>
          <t>M2/M3/M4 screw kit + 100 M3 heat-set inserts</t>
        </is>
      </c>
      <c r="C26" s="10" t="inlineStr">
        <is>
          <t>https://www.amazon.ca/</t>
        </is>
      </c>
      <c r="D26" s="11" t="n">
        <v>27</v>
      </c>
      <c r="E26" s="12" t="n">
        <v>1</v>
      </c>
      <c r="F26" s="13">
        <f>D26*E26</f>
        <v/>
      </c>
      <c r="G26" s="9" t="inlineStr">
        <is>
          <t>LuKaiSen kit C$15.99 + HANGLIFE inserts C$10.99.</t>
        </is>
      </c>
    </row>
    <row r="27">
      <c r="A27" s="9" t="inlineStr">
        <is>
          <t>Work stand clamps</t>
        </is>
      </c>
      <c r="B27" s="9" t="inlineStr">
        <is>
          <t>WEN CLC424 C-clamps, 2-pack</t>
        </is>
      </c>
      <c r="C27" s="10" t="inlineStr">
        <is>
          <t>https://www.amazon.ca/dp/B08SQFT9TW</t>
        </is>
      </c>
      <c r="D27" s="11" t="n">
        <v>17.44</v>
      </c>
      <c r="E27" s="12" t="n">
        <v>1</v>
      </c>
      <c r="F27" s="13">
        <f>D27*E27</f>
        <v/>
      </c>
      <c r="G27" s="9" t="inlineStr">
        <is>
          <t>Holds the torso on the bench during arm bring-up.</t>
        </is>
      </c>
    </row>
    <row r="28">
      <c r="A28" s="9" t="inlineStr">
        <is>
          <t>Wire + connectors</t>
        </is>
      </c>
      <c r="B28" s="9" t="inlineStr">
        <is>
          <t>Assorted wire, JST/Dupont, heat shrink</t>
        </is>
      </c>
      <c r="C28" s="10" t="inlineStr">
        <is>
          <t>https://www.amazon.ca/</t>
        </is>
      </c>
      <c r="D28" s="11" t="n">
        <v>35</v>
      </c>
      <c r="E28" s="12" t="n">
        <v>1</v>
      </c>
      <c r="F28" s="13">
        <f>D28*E28</f>
        <v/>
      </c>
      <c r="G28" s="9" t="inlineStr">
        <is>
          <t>Estimate.</t>
        </is>
      </c>
    </row>
    <row r="29">
      <c r="A29" s="14" t="inlineStr">
        <is>
          <t>Phase 2 subtotal (CAD, pre-tax/shipping)</t>
        </is>
      </c>
      <c r="B29" s="15" t="n"/>
      <c r="C29" s="15" t="n"/>
      <c r="D29" s="15" t="n"/>
      <c r="E29" s="15" t="n"/>
      <c r="F29" s="16">
        <f>SUM(F6:F28)</f>
        <v/>
      </c>
      <c r="G29" s="15" t="n"/>
    </row>
    <row r="30">
      <c r="A30" s="14" t="inlineStr">
        <is>
          <t>Whole v1 incl. the hands cart (Phase 1 core)</t>
        </is>
      </c>
      <c r="B30" s="15" t="n"/>
      <c r="C30" s="15" t="n"/>
      <c r="D30" s="15" t="n"/>
      <c r="E30" s="15" t="n"/>
      <c r="F30" s="16">
        <f>F29+BOM!F17</f>
        <v/>
      </c>
      <c r="G30" s="15" t="n"/>
    </row>
    <row r="31">
      <c r="A31" s="14" t="inlineStr">
        <is>
          <t>Under the C$1,500 budget by</t>
        </is>
      </c>
      <c r="B31" s="15" t="n"/>
      <c r="C31" s="15" t="n"/>
      <c r="D31" s="15" t="n"/>
      <c r="E31" s="15" t="n"/>
      <c r="F31" s="16">
        <f>1500-F30</f>
        <v/>
      </c>
      <c r="G31" s="15" t="n"/>
    </row>
    <row r="33">
      <c r="A33" s="30" t="inlineStr">
        <is>
          <t>Cerebras = System-2 brain (planner, voice, replanning, success checks) in the cloud; ACT/SmolVLA motor policy runs locally at 30-50 Hz. See research brief.</t>
        </is>
      </c>
    </row>
  </sheetData>
  <mergeCells count="3">
    <mergeCell ref="A30:E30"/>
    <mergeCell ref="A29:E29"/>
    <mergeCell ref="A31:E31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  <hyperlink xmlns:r="http://schemas.openxmlformats.org/officeDocument/2006/relationships" ref="C16" r:id="rId11"/>
    <hyperlink xmlns:r="http://schemas.openxmlformats.org/officeDocument/2006/relationships" ref="C17" r:id="rId12"/>
    <hyperlink xmlns:r="http://schemas.openxmlformats.org/officeDocument/2006/relationships" ref="C18" r:id="rId13"/>
    <hyperlink xmlns:r="http://schemas.openxmlformats.org/officeDocument/2006/relationships" ref="C19" r:id="rId14"/>
    <hyperlink xmlns:r="http://schemas.openxmlformats.org/officeDocument/2006/relationships" ref="C20" r:id="rId15"/>
    <hyperlink xmlns:r="http://schemas.openxmlformats.org/officeDocument/2006/relationships" ref="C21" r:id="rId16"/>
    <hyperlink xmlns:r="http://schemas.openxmlformats.org/officeDocument/2006/relationships" ref="C22" r:id="rId17"/>
    <hyperlink xmlns:r="http://schemas.openxmlformats.org/officeDocument/2006/relationships" ref="C23" r:id="rId18"/>
    <hyperlink xmlns:r="http://schemas.openxmlformats.org/officeDocument/2006/relationships" ref="C24" r:id="rId19"/>
    <hyperlink xmlns:r="http://schemas.openxmlformats.org/officeDocument/2006/relationships" ref="C25" r:id="rId20"/>
    <hyperlink xmlns:r="http://schemas.openxmlformats.org/officeDocument/2006/relationships" ref="C26" r:id="rId21"/>
    <hyperlink xmlns:r="http://schemas.openxmlformats.org/officeDocument/2006/relationships" ref="C27" r:id="rId22"/>
    <hyperlink xmlns:r="http://schemas.openxmlformats.org/officeDocument/2006/relationships" ref="C28" r:id="rId2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44" customWidth="1" min="3" max="3"/>
    <col width="15" customWidth="1" min="4" max="4"/>
    <col width="10" customWidth="1" min="5" max="5"/>
    <col width="16" customWidth="1" min="6" max="6"/>
    <col width="80" customWidth="1" min="7" max="7"/>
  </cols>
  <sheetData>
    <row r="1">
      <c r="A1" s="1" t="inlineStr">
        <is>
          <t>Phase 3 - Tools + last parts (in the Amazon.ca cart, NOT ordered yet)</t>
        </is>
      </c>
    </row>
    <row r="2">
      <c r="A2" s="2" t="inlineStr">
        <is>
          <t>Checked with Kimi (senior build manager) on 2026-09-27: cut the crimper and breadboard, swapped the wrench set for one 13 mm wrench, added nylock nuts, files, sandpaper, knife, tweezers, fuses, switch.</t>
        </is>
      </c>
    </row>
    <row r="4">
      <c r="A4" s="8" t="inlineStr">
        <is>
          <t>Item</t>
        </is>
      </c>
      <c r="B4" s="8" t="inlineStr">
        <is>
          <t>Product Name</t>
        </is>
      </c>
      <c r="C4" s="8" t="inlineStr">
        <is>
          <t>Link</t>
        </is>
      </c>
      <c r="D4" s="8" t="inlineStr">
        <is>
          <t>Unit Price (CAD)</t>
        </is>
      </c>
      <c r="E4" s="8" t="inlineStr">
        <is>
          <t>Quantity</t>
        </is>
      </c>
      <c r="F4" s="8" t="inlineStr">
        <is>
          <t>Line Total (CAD)</t>
        </is>
      </c>
      <c r="G4" s="8" t="inlineStr">
        <is>
          <t>Notes/Rationale</t>
        </is>
      </c>
    </row>
    <row r="5">
      <c r="A5" s="9" t="inlineStr">
        <is>
          <t>Head camera (robot's live eyes)</t>
        </is>
      </c>
      <c r="B5" s="9" t="inlineStr">
        <is>
          <t>InnoMaker 1080P USB UVC camera, 130deg wide</t>
        </is>
      </c>
      <c r="C5" s="10" t="inlineStr">
        <is>
          <t>https://www.amazon.ca/dp/B0CNCSFQC1</t>
        </is>
      </c>
      <c r="D5" s="11" t="n">
        <v>28</v>
      </c>
      <c r="E5" s="12" t="n">
        <v>1</v>
      </c>
      <c r="F5" s="13">
        <f>D5*E5</f>
        <v/>
      </c>
      <c r="G5" s="9" t="inlineStr">
        <is>
          <t>Board 38 x 38 mm, plugs into USB, no driver. Kimi: keep.</t>
        </is>
      </c>
    </row>
    <row r="6">
      <c r="A6" s="9" t="inlineStr">
        <is>
          <t>Arm pivot bolts</t>
        </is>
      </c>
      <c r="B6" s="9" t="inlineStr">
        <is>
          <t>M8 x 100 mm socket cap bolts, 10-pack</t>
        </is>
      </c>
      <c r="C6" s="10" t="inlineStr">
        <is>
          <t>https://www.amazon.ca/dp/B07KRTHJZR</t>
        </is>
      </c>
      <c r="D6" s="11" t="n">
        <v>11.41</v>
      </c>
      <c r="E6" s="12" t="n">
        <v>1</v>
      </c>
      <c r="F6" s="13">
        <f>D6*E6</f>
        <v/>
      </c>
      <c r="G6" s="9" t="inlineStr">
        <is>
          <t>8 mm thick, 100 mm long. Shoulder, bicep, omoplate pivots (InMoov BOM: M8x100 x15).</t>
        </is>
      </c>
    </row>
    <row r="7">
      <c r="A7" s="9" t="inlineStr">
        <is>
          <t>Lock nuts for the M8 bolts</t>
        </is>
      </c>
      <c r="B7" s="9" t="inlineStr">
        <is>
          <t>M8 x 1.25 nylon-insert lock nuts, 20 pcs</t>
        </is>
      </c>
      <c r="C7" s="10" t="inlineStr">
        <is>
          <t>https://www.amazon.ca/dp/B075ZZY166</t>
        </is>
      </c>
      <c r="D7" s="11" t="n">
        <v>8.99</v>
      </c>
      <c r="E7" s="12" t="n">
        <v>1</v>
      </c>
      <c r="F7" s="13">
        <f>D7*E7</f>
        <v/>
      </c>
      <c r="G7" s="9" t="inlineStr">
        <is>
          <t>13 mm across. Stops the pivot bolts backing out.</t>
        </is>
      </c>
    </row>
    <row r="8">
      <c r="A8" s="9" t="inlineStr">
        <is>
          <t>13 mm wrench (for M8 nuts)</t>
        </is>
      </c>
      <c r="B8" s="9" t="inlineStr">
        <is>
          <t>Sunex 13 mm combination wrench</t>
        </is>
      </c>
      <c r="C8" s="10" t="inlineStr">
        <is>
          <t>https://www.amazon.ca/dp/B00BNS8W2Q</t>
        </is>
      </c>
      <c r="D8" s="11" t="n">
        <v>9.82</v>
      </c>
      <c r="E8" s="12" t="n">
        <v>1</v>
      </c>
      <c r="F8" s="13">
        <f>D8*E8</f>
        <v/>
      </c>
      <c r="G8" s="9" t="inlineStr">
        <is>
          <t>Only size the M8 nuts need.</t>
        </is>
      </c>
    </row>
    <row r="9">
      <c r="A9" s="9" t="inlineStr">
        <is>
          <t>Ball race balls</t>
        </is>
      </c>
      <c r="B9" s="9" t="inlineStr">
        <is>
          <t>6 mm 0.20 g airsoft BBs</t>
        </is>
      </c>
      <c r="C9" s="10" t="inlineStr">
        <is>
          <t>https://www.amazon.ca/dp/B07T3K1TMS</t>
        </is>
      </c>
      <c r="D9" s="11" t="n">
        <v>12.39</v>
      </c>
      <c r="E9" s="12" t="n">
        <v>1</v>
      </c>
      <c r="F9" s="13">
        <f>D9*E9</f>
        <v/>
      </c>
      <c r="G9" s="9" t="inlineStr">
        <is>
          <t>6 mm balls. 31 per bicep race, 62+ for two arms.</t>
        </is>
      </c>
    </row>
    <row r="10">
      <c r="A10" s="9" t="inlineStr">
        <is>
          <t>Grease for the ball races</t>
        </is>
      </c>
      <c r="B10" s="9" t="inlineStr">
        <is>
          <t>Super Lube 92003 silicone grease</t>
        </is>
      </c>
      <c r="C10" s="10" t="inlineStr">
        <is>
          <t>https://www.amazon.ca/dp/B0081JE0OO</t>
        </is>
      </c>
      <c r="D10" s="11" t="n">
        <v>25.55</v>
      </c>
      <c r="E10" s="12" t="n">
        <v>1</v>
      </c>
      <c r="F10" s="13">
        <f>D10*E10</f>
        <v/>
      </c>
      <c r="G10" s="9" t="inlineStr">
        <is>
          <t>For the printed gears and races.</t>
        </is>
      </c>
    </row>
    <row r="11">
      <c r="A11" s="9" t="inlineStr">
        <is>
          <t>Joint position sensors</t>
        </is>
      </c>
      <c r="B11" s="9" t="inlineStr">
        <is>
          <t>uxcell WH148 10k potentiometers, 10 pcs</t>
        </is>
      </c>
      <c r="C11" s="10" t="inlineStr">
        <is>
          <t>https://www.amazon.ca/dp/B07JM62B3Q</t>
        </is>
      </c>
      <c r="D11" s="11" t="n">
        <v>13.99</v>
      </c>
      <c r="E11" s="12" t="n">
        <v>1</v>
      </c>
      <c r="F11" s="13">
        <f>D11*E11</f>
        <v/>
      </c>
      <c r="G11" s="9" t="inlineStr">
        <is>
          <t>Shaft 6 mm. Pot relocated to the joint (InMoov mod).</t>
        </is>
      </c>
    </row>
    <row r="12">
      <c r="A12" s="9" t="inlineStr">
        <is>
          <t>Servo extension leads</t>
        </is>
      </c>
      <c r="B12" s="9" t="inlineStr">
        <is>
          <t>30 cm 3-pin servo extension, 5 pcs</t>
        </is>
      </c>
      <c r="C12" s="10" t="inlineStr">
        <is>
          <t>https://www.amazon.ca/dp/B07DMTYQ6N</t>
        </is>
      </c>
      <c r="D12" s="11" t="n">
        <v>10.32</v>
      </c>
      <c r="E12" s="12" t="n">
        <v>2</v>
      </c>
      <c r="F12" s="13">
        <f>D12*E12</f>
        <v/>
      </c>
      <c r="G12" s="9" t="inlineStr">
        <is>
          <t>30 cm each, 10 total.</t>
        </is>
      </c>
    </row>
    <row r="13">
      <c r="A13" s="9" t="inlineStr">
        <is>
          <t>Wire joiners</t>
        </is>
      </c>
      <c r="B13" s="9" t="inlineStr">
        <is>
          <t>WAGO 221 lever connectors, 25 pcs</t>
        </is>
      </c>
      <c r="C13" s="10" t="inlineStr">
        <is>
          <t>https://www.amazon.ca/dp/B0BYBHYLG2</t>
        </is>
      </c>
      <c r="D13" s="11" t="n">
        <v>29.39</v>
      </c>
      <c r="E13" s="12" t="n">
        <v>1</v>
      </c>
      <c r="F13" s="13">
        <f>D13*E13</f>
        <v/>
      </c>
      <c r="G13" s="9" t="inlineStr">
        <is>
          <t>Join power wires without soldering.</t>
        </is>
      </c>
    </row>
    <row r="14">
      <c r="A14" s="9" t="inlineStr">
        <is>
          <t>Fuses</t>
        </is>
      </c>
      <c r="B14" s="9" t="inlineStr">
        <is>
          <t>12 AWG inline fuse holders, 4 pcs</t>
        </is>
      </c>
      <c r="C14" s="10" t="inlineStr">
        <is>
          <t>https://www.amazon.ca/dp/B0FDJYRGB7</t>
        </is>
      </c>
      <c r="D14" s="11" t="n">
        <v>9.99</v>
      </c>
      <c r="E14" s="12" t="n">
        <v>1</v>
      </c>
      <c r="F14" s="13">
        <f>D14*E14</f>
        <v/>
      </c>
      <c r="G14" s="9" t="inlineStr">
        <is>
          <t>10 A fuse on each power supply line.</t>
        </is>
      </c>
    </row>
    <row r="15">
      <c r="A15" s="9" t="inlineStr">
        <is>
          <t>Main power switch</t>
        </is>
      </c>
      <c r="B15" s="9" t="inlineStr">
        <is>
          <t>Nilight rocker switch 20 A</t>
        </is>
      </c>
      <c r="C15" s="10" t="inlineStr">
        <is>
          <t>https://www.amazon.ca/dp/B06ZZHX6K3</t>
        </is>
      </c>
      <c r="D15" s="11" t="n">
        <v>4.62</v>
      </c>
      <c r="E15" s="12" t="n">
        <v>1</v>
      </c>
      <c r="F15" s="13">
        <f>D15*E15</f>
        <v/>
      </c>
      <c r="G15" s="9" t="inlineStr">
        <is>
          <t>One switch kills servo power.</t>
        </is>
      </c>
    </row>
    <row r="16">
      <c r="A16" s="9" t="inlineStr">
        <is>
          <t>Screwdrivers</t>
        </is>
      </c>
      <c r="B16" s="9" t="inlineStr">
        <is>
          <t>STREBITO 124-piece precision screwdriver set</t>
        </is>
      </c>
      <c r="C16" s="10" t="inlineStr">
        <is>
          <t>https://www.amazon.ca/dp/B0968D5PSC</t>
        </is>
      </c>
      <c r="D16" s="11" t="n">
        <v>25.99</v>
      </c>
      <c r="E16" s="12" t="n">
        <v>1</v>
      </c>
      <c r="F16" s="13">
        <f>D16*E16</f>
        <v/>
      </c>
      <c r="G16" s="9" t="inlineStr">
        <is>
          <t>Phillips PH0-PH2 + hex bits for M2-M4 screws.</t>
        </is>
      </c>
    </row>
    <row r="17">
      <c r="A17" s="9" t="inlineStr">
        <is>
          <t>Hex keys</t>
        </is>
      </c>
      <c r="B17" s="9" t="inlineStr">
        <is>
          <t>GEARWRENCH 9-piece metric ball-end hex keys</t>
        </is>
      </c>
      <c r="C17" s="10" t="inlineStr">
        <is>
          <t>https://www.amazon.ca/dp/B098TYMJ3X</t>
        </is>
      </c>
      <c r="D17" s="11" t="n">
        <v>10.99</v>
      </c>
      <c r="E17" s="12" t="n">
        <v>1</v>
      </c>
      <c r="F17" s="13">
        <f>D17*E17</f>
        <v/>
      </c>
      <c r="G17" s="9" t="inlineStr">
        <is>
          <t>1.5-10 mm. Your countersunk kit: 2 mm = M3, 2.5 mm = M4. 6 mm = the M8 bolts.</t>
        </is>
      </c>
    </row>
    <row r="18">
      <c r="A18" s="9" t="inlineStr">
        <is>
          <t>Pliers + cutter</t>
        </is>
      </c>
      <c r="B18" s="9" t="inlineStr">
        <is>
          <t>SPEEDWOX mini long-nose pliers with cutter</t>
        </is>
      </c>
      <c r="C18" s="10" t="inlineStr">
        <is>
          <t>https://www.amazon.ca/dp/B0CGHRCHP5</t>
        </is>
      </c>
      <c r="D18" s="11" t="n">
        <v>9.69</v>
      </c>
      <c r="E18" s="12" t="n">
        <v>1</v>
      </c>
      <c r="F18" s="13">
        <f>D18*E18</f>
        <v/>
      </c>
      <c r="G18" s="9" t="inlineStr">
        <is>
          <t>Cheap single tool: grip + snip.</t>
        </is>
      </c>
    </row>
    <row r="19">
      <c r="A19" s="9" t="inlineStr">
        <is>
          <t>Wire stripper</t>
        </is>
      </c>
      <c r="B19" s="9" t="inlineStr">
        <is>
          <t>Solsop self-adjusting wire stripper</t>
        </is>
      </c>
      <c r="C19" s="10" t="inlineStr">
        <is>
          <t>https://www.amazon.ca/dp/B07XXMLFMV</t>
        </is>
      </c>
      <c r="D19" s="11" t="n">
        <v>10.19</v>
      </c>
      <c r="E19" s="12" t="n">
        <v>1</v>
      </c>
      <c r="F19" s="13">
        <f>D19*E19</f>
        <v/>
      </c>
      <c r="G19" s="9" t="inlineStr">
        <is>
          <t>Strips 10-24 AWG.</t>
        </is>
      </c>
    </row>
    <row r="20">
      <c r="A20" s="9" t="inlineStr">
        <is>
          <t>Soldering iron</t>
        </is>
      </c>
      <c r="B20" s="9" t="inlineStr">
        <is>
          <t>60 W adjustable soldering iron kit</t>
        </is>
      </c>
      <c r="C20" s="10" t="inlineStr">
        <is>
          <t>https://www.amazon.ca/dp/B08K8VFTF9</t>
        </is>
      </c>
      <c r="D20" s="11" t="n">
        <v>13.99</v>
      </c>
      <c r="E20" s="12" t="n">
        <v>1</v>
      </c>
      <c r="F20" s="13">
        <f>D20*E20</f>
        <v/>
      </c>
      <c r="G20" s="9" t="inlineStr">
        <is>
          <t>Cheapest decent kit (446 reviews).</t>
        </is>
      </c>
    </row>
    <row r="21">
      <c r="A21" s="9" t="inlineStr">
        <is>
          <t>Solder</t>
        </is>
      </c>
      <c r="B21" s="9" t="inlineStr">
        <is>
          <t>TOWOT 63/37 rosin-core solder 0.8 mm</t>
        </is>
      </c>
      <c r="C21" s="10" t="inlineStr">
        <is>
          <t>https://www.amazon.ca/dp/B0943TPRXK</t>
        </is>
      </c>
      <c r="D21" s="11" t="n">
        <v>12.97</v>
      </c>
      <c r="E21" s="12" t="n">
        <v>1</v>
      </c>
      <c r="F21" s="13">
        <f>D21*E21</f>
        <v/>
      </c>
      <c r="G21" s="9" t="inlineStr">
        <is>
          <t>0.8 mm wire, easy for beginners.</t>
        </is>
      </c>
    </row>
    <row r="22">
      <c r="A22" s="9" t="inlineStr">
        <is>
          <t>Multimeter</t>
        </is>
      </c>
      <c r="B22" s="9" t="inlineStr">
        <is>
          <t>Digital multimeter</t>
        </is>
      </c>
      <c r="C22" s="10" t="inlineStr">
        <is>
          <t>https://www.amazon.ca/dp/B07H65J7DQ</t>
        </is>
      </c>
      <c r="D22" s="11" t="n">
        <v>19.98</v>
      </c>
      <c r="E22" s="12" t="n">
        <v>1</v>
      </c>
      <c r="F22" s="13">
        <f>D22*E22</f>
        <v/>
      </c>
      <c r="G22" s="9" t="inlineStr">
        <is>
          <t>Check PSU voltage before plugging servos in.</t>
        </is>
      </c>
    </row>
    <row r="23">
      <c r="A23" s="9" t="inlineStr">
        <is>
          <t>Heat shrink</t>
        </is>
      </c>
      <c r="B23" s="9" t="inlineStr">
        <is>
          <t>ASHINER heat shrink kit, 580 pcs</t>
        </is>
      </c>
      <c r="C23" s="10" t="inlineStr">
        <is>
          <t>https://www.amazon.ca/dp/B08XXGNJHG</t>
        </is>
      </c>
      <c r="D23" s="11" t="n">
        <v>14.99</v>
      </c>
      <c r="E23" s="12" t="n">
        <v>1</v>
      </c>
      <c r="F23" s="13">
        <f>D23*E23</f>
        <v/>
      </c>
      <c r="G23" s="9" t="inlineStr">
        <is>
          <t>Covers solder joints.</t>
        </is>
      </c>
    </row>
    <row r="24">
      <c r="A24" s="9" t="inlineStr">
        <is>
          <t>Calipers</t>
        </is>
      </c>
      <c r="B24" s="9" t="inlineStr">
        <is>
          <t>ADORIC digital caliper 0-150 mm</t>
        </is>
      </c>
      <c r="C24" s="10" t="inlineStr">
        <is>
          <t>https://www.amazon.ca/dp/B07DFFYCXS</t>
        </is>
      </c>
      <c r="D24" s="11" t="n">
        <v>11.43</v>
      </c>
      <c r="E24" s="12" t="n">
        <v>1</v>
      </c>
      <c r="F24" s="13">
        <f>D24*E24</f>
        <v/>
      </c>
      <c r="G24" s="9" t="inlineStr">
        <is>
          <t>Measure screws and printed parts.</t>
        </is>
      </c>
    </row>
    <row r="25">
      <c r="A25" s="9" t="inlineStr">
        <is>
          <t>Zip ties</t>
        </is>
      </c>
      <c r="B25" s="9" t="inlineStr">
        <is>
          <t>400 assorted zip ties</t>
        </is>
      </c>
      <c r="C25" s="10" t="inlineStr">
        <is>
          <t>https://www.amazon.ca/dp/B08TVLYB3Q</t>
        </is>
      </c>
      <c r="D25" s="11" t="n">
        <v>11.98</v>
      </c>
      <c r="E25" s="12" t="n">
        <v>1</v>
      </c>
      <c r="F25" s="13">
        <f>D25*E25</f>
        <v/>
      </c>
      <c r="G25" s="9" t="inlineStr">
        <is>
          <t>Cable management.</t>
        </is>
      </c>
    </row>
    <row r="26">
      <c r="A26" s="9" t="inlineStr">
        <is>
          <t>Hot glue</t>
        </is>
      </c>
      <c r="B26" s="9" t="inlineStr">
        <is>
          <t>Surebonder LT-160 mini glue gun</t>
        </is>
      </c>
      <c r="C26" s="10" t="inlineStr">
        <is>
          <t>https://www.amazon.ca/dp/B004BPPHYE</t>
        </is>
      </c>
      <c r="D26" s="11" t="n">
        <v>7.47</v>
      </c>
      <c r="E26" s="12" t="n">
        <v>1</v>
      </c>
      <c r="F26" s="13">
        <f>D26*E26</f>
        <v/>
      </c>
      <c r="G26" s="9" t="inlineStr">
        <is>
          <t>InMoov wire management method.</t>
        </is>
      </c>
    </row>
    <row r="27">
      <c r="A27" s="9" t="inlineStr">
        <is>
          <t>Needle files</t>
        </is>
      </c>
      <c r="B27" s="9" t="inlineStr">
        <is>
          <t>10-piece needle file set</t>
        </is>
      </c>
      <c r="C27" s="10" t="inlineStr">
        <is>
          <t>https://www.amazon.ca/dp/B07PPYWSCY</t>
        </is>
      </c>
      <c r="D27" s="11" t="n">
        <v>9.99</v>
      </c>
      <c r="E27" s="12" t="n">
        <v>1</v>
      </c>
      <c r="F27" s="13">
        <f>D27*E27</f>
        <v/>
      </c>
      <c r="G27" s="9" t="inlineStr">
        <is>
          <t>Fit printed parts (ball races, pistons). Kimi: day-1 blocker.</t>
        </is>
      </c>
    </row>
    <row r="28">
      <c r="A28" s="9" t="inlineStr">
        <is>
          <t>Sandpaper</t>
        </is>
      </c>
      <c r="B28" s="9" t="inlineStr">
        <is>
          <t>3M sandpaper 100/150/220 grit, 5 sheets</t>
        </is>
      </c>
      <c r="C28" s="10" t="inlineStr">
        <is>
          <t>https://www.amazon.ca/dp/B00004Z48U</t>
        </is>
      </c>
      <c r="D28" s="11" t="n">
        <v>7.97</v>
      </c>
      <c r="E28" s="12" t="n">
        <v>1</v>
      </c>
      <c r="F28" s="13">
        <f>D28*E28</f>
        <v/>
      </c>
      <c r="G28" s="9" t="inlineStr">
        <is>
          <t>Smooth printed parts.</t>
        </is>
      </c>
    </row>
    <row r="29">
      <c r="A29" s="9" t="inlineStr">
        <is>
          <t>Hobby knife</t>
        </is>
      </c>
      <c r="B29" s="9" t="inlineStr">
        <is>
          <t>VViViD modelers knife + spare blades</t>
        </is>
      </c>
      <c r="C29" s="10" t="inlineStr">
        <is>
          <t>https://www.amazon.ca/dp/B0CL5F9M4H</t>
        </is>
      </c>
      <c r="D29" s="11" t="n">
        <v>7.98</v>
      </c>
      <c r="E29" s="12" t="n">
        <v>1</v>
      </c>
      <c r="F29" s="13">
        <f>D29*E29</f>
        <v/>
      </c>
      <c r="G29" s="9" t="inlineStr">
        <is>
          <t>Clean up prints.</t>
        </is>
      </c>
    </row>
    <row r="30">
      <c r="A30" s="9" t="inlineStr">
        <is>
          <t>Tweezers</t>
        </is>
      </c>
      <c r="B30" s="9" t="inlineStr">
        <is>
          <t>NARZ 4-piece tweezers</t>
        </is>
      </c>
      <c r="C30" s="10" t="inlineStr">
        <is>
          <t>https://www.amazon.ca/dp/B09JLXKWB5</t>
        </is>
      </c>
      <c r="D30" s="11" t="n">
        <v>6.29</v>
      </c>
      <c r="E30" s="12" t="n">
        <v>1</v>
      </c>
      <c r="F30" s="13">
        <f>D30*E30</f>
        <v/>
      </c>
      <c r="G30" s="9" t="inlineStr">
        <is>
          <t>Threading finger tendons.</t>
        </is>
      </c>
    </row>
    <row r="31">
      <c r="A31" s="9" t="inlineStr">
        <is>
          <t>Safety glasses</t>
        </is>
      </c>
      <c r="B31" s="9" t="inlineStr">
        <is>
          <t>Clear safety glasses, 3-pack</t>
        </is>
      </c>
      <c r="C31" s="10" t="inlineStr">
        <is>
          <t>https://www.amazon.ca/dp/B0F2JL22QN</t>
        </is>
      </c>
      <c r="D31" s="11" t="n">
        <v>13.49</v>
      </c>
      <c r="E31" s="12" t="n">
        <v>1</v>
      </c>
      <c r="F31" s="13">
        <f>D31*E31</f>
        <v/>
      </c>
      <c r="G31" s="9" t="inlineStr">
        <is>
          <t>For cutting, soldering, springs.</t>
        </is>
      </c>
    </row>
    <row r="32">
      <c r="A32" s="14" t="inlineStr">
        <is>
          <t>Subtotal (CAD, pre-tax)</t>
        </is>
      </c>
      <c r="B32" s="15" t="n"/>
      <c r="C32" s="15" t="n"/>
      <c r="D32" s="15" t="n"/>
      <c r="E32" s="15" t="n"/>
      <c r="F32" s="16">
        <f>SUM(F5:F31)</f>
        <v/>
      </c>
      <c r="G32" s="15" t="n"/>
    </row>
    <row r="33">
      <c r="A33" s="14" t="inlineStr">
        <is>
          <t>With HST 13%</t>
        </is>
      </c>
      <c r="B33" s="15" t="n"/>
      <c r="C33" s="15" t="n"/>
      <c r="D33" s="15" t="n"/>
      <c r="E33" s="15" t="n"/>
      <c r="F33" s="16">
        <f>F32*1.13</f>
        <v/>
      </c>
      <c r="G33" s="15" t="n"/>
    </row>
  </sheetData>
  <mergeCells count="2">
    <mergeCell ref="A32:E32"/>
    <mergeCell ref="A33:E33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60" customWidth="1" min="4" max="4"/>
    <col width="28" customWidth="1" min="5" max="5"/>
    <col width="24" customWidth="1" min="6" max="6"/>
  </cols>
  <sheetData>
    <row r="1">
      <c r="A1" s="1" t="inlineStr">
        <is>
          <t>Screw sizes: what goes where</t>
        </is>
      </c>
    </row>
    <row r="3">
      <c r="A3" s="8" t="inlineStr">
        <is>
          <t>Part</t>
        </is>
      </c>
      <c r="B3" s="8" t="inlineStr">
        <is>
          <t>Thick (mm)</t>
        </is>
      </c>
      <c r="C3" s="8" t="inlineStr">
        <is>
          <t>Long (mm)</t>
        </is>
      </c>
      <c r="D3" s="8" t="inlineStr">
        <is>
          <t>Goes in</t>
        </is>
      </c>
      <c r="E3" s="8" t="inlineStr">
        <is>
          <t>Tool</t>
        </is>
      </c>
      <c r="F3" s="8" t="inlineStr">
        <is>
          <t>Status</t>
        </is>
      </c>
    </row>
    <row r="4">
      <c r="A4" s="9" t="inlineStr">
        <is>
          <t>M8 x 100 mm bolt</t>
        </is>
      </c>
      <c r="B4" s="9" t="n">
        <v>8</v>
      </c>
      <c r="C4" s="9" t="n">
        <v>100</v>
      </c>
      <c r="D4" s="9" t="inlineStr">
        <is>
          <t>Shoulder, bicep, omoplate pivots - the arm hangs on these</t>
        </is>
      </c>
      <c r="E4" s="9" t="inlineStr">
        <is>
          <t>6 mm hex key + 13 mm wrench</t>
        </is>
      </c>
      <c r="F4" s="9" t="inlineStr">
        <is>
          <t>in cart</t>
        </is>
      </c>
    </row>
    <row r="5">
      <c r="A5" s="9" t="inlineStr">
        <is>
          <t>M8 x 60 mm bolt</t>
        </is>
      </c>
      <c r="B5" s="9" t="n">
        <v>8</v>
      </c>
      <c r="C5" s="9" t="n">
        <v>60</v>
      </c>
      <c r="D5" s="9" t="inlineStr">
        <is>
          <t>Elbow / forearm shaft only (too short for the shoulder)</t>
        </is>
      </c>
      <c r="E5" s="9" t="inlineStr">
        <is>
          <t>6 mm hex key + 13 mm wrench</t>
        </is>
      </c>
      <c r="F5" s="9" t="inlineStr">
        <is>
          <t>ordered</t>
        </is>
      </c>
    </row>
    <row r="6">
      <c r="A6" s="9" t="inlineStr">
        <is>
          <t>M4 x 20 mm bolt</t>
        </is>
      </c>
      <c r="B6" s="9" t="n">
        <v>4</v>
      </c>
      <c r="C6" s="9" t="n">
        <v>20</v>
      </c>
      <c r="D6" s="9" t="inlineStr">
        <is>
          <t>Joining printed parts together</t>
        </is>
      </c>
      <c r="E6" s="9" t="inlineStr">
        <is>
          <t>2.5 mm hex key</t>
        </is>
      </c>
      <c r="F6" s="9" t="inlineStr">
        <is>
          <t>ordered (DYWISHKEY kit)</t>
        </is>
      </c>
    </row>
    <row r="7">
      <c r="A7" s="9" t="inlineStr">
        <is>
          <t>M3 x 20 mm bolt</t>
        </is>
      </c>
      <c r="B7" s="9" t="n">
        <v>3</v>
      </c>
      <c r="C7" s="9" t="n">
        <v>20</v>
      </c>
      <c r="D7" s="9" t="inlineStr">
        <is>
          <t>Joining small printed parts</t>
        </is>
      </c>
      <c r="E7" s="9" t="inlineStr">
        <is>
          <t>2 mm hex key</t>
        </is>
      </c>
      <c r="F7" s="9" t="inlineStr">
        <is>
          <t>ordered (DYWISHKEY kit)</t>
        </is>
      </c>
    </row>
    <row r="8">
      <c r="A8" s="9" t="inlineStr">
        <is>
          <t>3.5 x 16 mm self-tapper</t>
        </is>
      </c>
      <c r="B8" s="9" t="n">
        <v>3.5</v>
      </c>
      <c r="C8" s="9" t="n">
        <v>16</v>
      </c>
      <c r="D8" s="9" t="inlineStr">
        <is>
          <t>Screwing servos into plastic (bicep build)</t>
        </is>
      </c>
      <c r="E8" s="9" t="inlineStr">
        <is>
          <t>Phillips PH2</t>
        </is>
      </c>
      <c r="F8" s="9" t="inlineStr">
        <is>
          <t>ordered (625 pc kit)</t>
        </is>
      </c>
    </row>
    <row r="9">
      <c r="A9" s="9" t="inlineStr">
        <is>
          <t>M2 x 8 mm self-tapper</t>
        </is>
      </c>
      <c r="B9" s="9" t="n">
        <v>2</v>
      </c>
      <c r="C9" s="9" t="n">
        <v>8</v>
      </c>
      <c r="D9" s="9" t="inlineStr">
        <is>
          <t>Servo horns, hand parts</t>
        </is>
      </c>
      <c r="E9" s="9" t="inlineStr">
        <is>
          <t>Phillips PH0/PH1</t>
        </is>
      </c>
      <c r="F9" s="9" t="inlineStr">
        <is>
          <t>ordered (625 pc kit)</t>
        </is>
      </c>
    </row>
    <row r="10">
      <c r="A10" s="9" t="inlineStr">
        <is>
          <t>6 mm ball (BB)</t>
        </is>
      </c>
      <c r="B10" s="9" t="n">
        <v>6</v>
      </c>
      <c r="C10" s="9" t="n">
        <v>6</v>
      </c>
      <c r="D10" s="9" t="inlineStr">
        <is>
          <t>Shoulder / bicep ball races, 31 per race</t>
        </is>
      </c>
      <c r="E10" s="9" t="inlineStr">
        <is>
          <t>grease</t>
        </is>
      </c>
      <c r="F10" s="9" t="inlineStr">
        <is>
          <t>in cart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2026-09-27T10:21:46Z</dcterms:created>
  <dcterms:modified xsi:type="dcterms:W3CDTF">2026-09-27T10:21:46Z</dcterms:modified>
</cp:coreProperties>
</file>